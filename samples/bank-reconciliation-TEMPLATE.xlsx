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Bank" sheetId="2" state="visible" r:id="rId2"/>
    <sheet name="Ledger" sheetId="3" state="visible" r:id="rId3"/>
    <sheet name="Exceptions" sheetId="4" state="visible" r:id="rId4"/>
    <sheet name="AR Aging" sheetId="5" state="visible" r:id="rId5"/>
    <sheet name="AP Payment Run" sheetId="6" state="visible" r:id="rId6"/>
    <sheet name="Dashboard" sheetId="7" state="visible" r:id="rId7"/>
  </sheets>
  <definedNames>
    <definedName name="_xlnm._FilterDatabase" localSheetId="1" hidden="1">'Bank'!$A$4:$H$604</definedName>
    <definedName name="_xlnm._FilterDatabase" localSheetId="2" hidden="1">'Ledger'!$A$4:$J$604</definedName>
    <definedName name="_xlnm._FilterDatabase" localSheetId="5" hidden="1">'AP Payment Run'!$A$4:$F$604</definedName>
  </definedNames>
  <calcPr calcId="124519" fullCalcOnLoad="1"/>
</workbook>
</file>

<file path=xl/styles.xml><?xml version="1.0" encoding="utf-8"?>
<styleSheet xmlns="http://schemas.openxmlformats.org/spreadsheetml/2006/main">
  <numFmts count="2">
    <numFmt numFmtId="164" formatCode="#,##0.00;[Red]-#,##0.00"/>
    <numFmt numFmtId="165" formatCode="yyyy-mm-dd"/>
  </numFmts>
  <fonts count="8">
    <font>
      <name val="Calibri"/>
      <family val="2"/>
      <color theme="1"/>
      <sz val="11"/>
      <scheme val="minor"/>
    </font>
    <font>
      <name val="Calibri"/>
      <b val="1"/>
      <color rgb="001F3346"/>
      <sz val="16"/>
    </font>
    <font>
      <name val="Calibri"/>
      <color rgb="006B7A88"/>
      <sz val="10"/>
    </font>
    <font>
      <name val="Calibri"/>
      <color rgb="006B7A88"/>
      <sz val="9"/>
    </font>
    <font>
      <name val="Calibri"/>
      <b val="1"/>
      <color rgb="001F3346"/>
      <sz val="10"/>
    </font>
    <font>
      <name val="Calibri"/>
      <b val="1"/>
      <color rgb="00FFFFFF"/>
      <sz val="10"/>
    </font>
    <font>
      <name val="Calibri"/>
      <sz val="10"/>
    </font>
    <font>
      <name val="Calibri"/>
      <b val="1"/>
      <color rgb="001F3346"/>
      <sz val="20"/>
    </font>
  </fonts>
  <fills count="4">
    <fill>
      <patternFill/>
    </fill>
    <fill>
      <patternFill patternType="gray125"/>
    </fill>
    <fill>
      <patternFill patternType="solid">
        <fgColor rgb="00F2F6F9"/>
      </patternFill>
    </fill>
    <fill>
      <patternFill patternType="solid">
        <fgColor rgb="001F3346"/>
      </patternFill>
    </fill>
  </fills>
  <borders count="2">
    <border>
      <left/>
      <right/>
      <top/>
      <bottom/>
      <diagonal/>
    </border>
    <border>
      <left style="thin">
        <color rgb="00D7DEE5"/>
      </left>
      <right style="thin">
        <color rgb="00D7DEE5"/>
      </right>
      <top style="thin">
        <color rgb="00D7DEE5"/>
      </top>
      <bottom style="thin">
        <color rgb="00D7DEE5"/>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6" fillId="0" borderId="0" applyAlignment="1" pivotButton="0" quotePrefix="0" xfId="0">
      <alignment vertical="top" wrapText="1"/>
    </xf>
    <xf numFmtId="0" fontId="3" fillId="0" borderId="0" pivotButton="0" quotePrefix="0" xfId="0"/>
    <xf numFmtId="164" fontId="4" fillId="2" borderId="0" pivotButton="0" quotePrefix="0" xfId="0"/>
    <xf numFmtId="0" fontId="5" fillId="3" borderId="1" applyAlignment="1" pivotButton="0" quotePrefix="0" xfId="0">
      <alignment vertical="center" wrapText="1"/>
    </xf>
    <xf numFmtId="165" fontId="6" fillId="0" borderId="1" pivotButton="0" quotePrefix="0" xfId="0"/>
    <xf numFmtId="0" fontId="6" fillId="0" borderId="1" pivotButton="0" quotePrefix="0" xfId="0"/>
    <xf numFmtId="164" fontId="6" fillId="0" borderId="1" pivotButton="0" quotePrefix="0" xfId="0"/>
    <xf numFmtId="0" fontId="4" fillId="0" borderId="1" pivotButton="0" quotePrefix="0" xfId="0"/>
    <xf numFmtId="0" fontId="4" fillId="0" borderId="1" applyAlignment="1" pivotButton="0" quotePrefix="0" xfId="0">
      <alignment horizontal="center"/>
    </xf>
    <xf numFmtId="0" fontId="6" fillId="0" borderId="1" applyAlignment="1" pivotButton="0" quotePrefix="0" xfId="0">
      <alignment vertical="top" wrapText="1"/>
    </xf>
    <xf numFmtId="164" fontId="0" fillId="0" borderId="1" pivotButton="0" quotePrefix="0" xfId="0"/>
    <xf numFmtId="164" fontId="4" fillId="0" borderId="1" pivotButton="0" quotePrefix="0" xfId="0"/>
    <xf numFmtId="1" fontId="7" fillId="0" borderId="0" pivotButton="0" quotePrefix="0" xfId="0"/>
    <xf numFmtId="164" fontId="7" fillId="0" borderId="0" pivotButton="0" quotePrefix="0" xfId="0"/>
    <xf numFmtId="164" fontId="4" fillId="0" borderId="0" pivotButton="0" quotePrefix="0" xfId="0"/>
  </cellXfs>
  <cellStyles count="1">
    <cellStyle name="Normal" xfId="0" builtinId="0" hidden="0"/>
  </cellStyles>
  <dxfs count="4">
    <dxf>
      <fill>
        <patternFill patternType="solid">
          <fgColor rgb="00FDECEA"/>
        </patternFill>
      </fill>
    </dxf>
    <dxf>
      <fill>
        <patternFill patternType="solid">
          <fgColor rgb="00FFF4E5"/>
        </patternFill>
      </fill>
    </dxf>
    <dxf>
      <fill>
        <patternFill patternType="solid">
          <fgColor rgb="00EAF6EC"/>
        </patternFill>
      </fill>
    </dxf>
    <dxf>
      <font>
        <b val="1"/>
      </font>
      <fill>
        <patternFill patternType="solid">
          <fgColor rgb="00FFF4E5"/>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33"/>
  <sheetViews>
    <sheetView showGridLines="0" workbookViewId="0">
      <selection activeCell="A1" sqref="A1"/>
    </sheetView>
  </sheetViews>
  <sheetFormatPr baseColWidth="8" defaultRowHeight="15"/>
  <cols>
    <col width="3" customWidth="1" min="1" max="1"/>
    <col width="108" customWidth="1" min="2" max="2"/>
  </cols>
  <sheetData>
    <row r="2">
      <c r="B2" s="1" t="inlineStr">
        <is>
          <t>Bank Reconciliation and AP/AR - ready to use</t>
        </is>
      </c>
    </row>
    <row r="3">
      <c r="B3" s="2" t="inlineStr">
        <is>
          <t>Timothy Ting - chimsyt.github.io - formulas pre-filled, no data. Start at the Bank sheet.</t>
        </is>
      </c>
    </row>
    <row r="6">
      <c r="B6" s="3" t="inlineStr">
        <is>
          <t>What it does</t>
        </is>
      </c>
    </row>
    <row r="8" ht="51" customHeight="1">
      <c r="B8" s="4" t="inlineStr">
        <is>
          <t>Takes a bank statement and a ledger of invoices and bills, matches them against each other, and reports what does not reconcile - from both directions. It then ages the receivables and builds the week's supplier payment run from the same data, so nothing is typed twice.</t>
        </is>
      </c>
    </row>
    <row r="10">
      <c r="B10" s="3" t="inlineStr">
        <is>
          <t>How to use it</t>
        </is>
      </c>
    </row>
    <row r="12" ht="21" customHeight="1">
      <c r="B12" s="4" t="inlineStr">
        <is>
          <t>1. Paste new bank lines into Bank columns A to D, under the last row.</t>
        </is>
      </c>
    </row>
    <row r="13" ht="36" customHeight="1">
      <c r="B13" s="4" t="inlineStr">
        <is>
          <t>2. Enter invoices and bills in Ledger columns A to F. One row per document, never one row per payment.</t>
        </is>
      </c>
    </row>
    <row r="14" ht="21" customHeight="1">
      <c r="B14" s="4" t="inlineStr">
        <is>
          <t>3. Read Exceptions. If everything there is zero, the period reconciles.</t>
        </is>
      </c>
    </row>
    <row r="15" ht="36" customHeight="1">
      <c r="B15" s="4" t="inlineStr">
        <is>
          <t>4. AR Aging tells you who to chase. AP Payment Run is the week's payments - filter column A for Yes.</t>
        </is>
      </c>
    </row>
    <row r="16" ht="21" customHeight="1">
      <c r="B16" s="4" t="inlineStr">
        <is>
          <t>Every other column is a formula and rebuilds itself. Do not overwrite them.</t>
        </is>
      </c>
    </row>
    <row r="18">
      <c r="B18" s="3" t="inlineStr">
        <is>
          <t>Design decisions, and why</t>
        </is>
      </c>
    </row>
    <row r="20" ht="51" customHeight="1">
      <c r="B20" s="4" t="inlineStr">
        <is>
          <t>Whole-column references. A bounded range like E2:E150 breaks silently when somebody pastes in a longer month - it keeps calculating and reports a wrong number for that month. Whole columns cost a little speed and remove a whole class of silent error.</t>
        </is>
      </c>
    </row>
    <row r="21" ht="66" customHeight="1">
      <c r="B21" s="4" t="inlineStr">
        <is>
          <t>Matching on amount and direction, not description. Bank descriptions are free text the bank invents and they never match the ledger reliably. Direction matters too: money in can only settle an invoice, money out can only settle a bill - without that, a 500 refund would happily match a 500 supplier bill.</t>
        </is>
      </c>
    </row>
    <row r="22" ht="51" customHeight="1">
      <c r="B22" s="4" t="inlineStr">
        <is>
          <t>Exceptions reported from both sides. Bank lines with no ledger entry, and ledger entries with no bank line. Most reconciliation sheets only check one direction, which hides half the errors: a bill entered twice and paid once is invisible from the bank side.</t>
        </is>
      </c>
    </row>
    <row r="23" ht="51" customHeight="1">
      <c r="B23" s="4" t="inlineStr">
        <is>
          <t>Ambiguity is flagged, never guessed. Two payments of the same amount cannot be told apart by amount alone, so the sheet says REVIEW and stops. This is the known limitation of matching on amount and it is deliberately visible rather than hidden.</t>
        </is>
      </c>
    </row>
    <row r="24" ht="36" customHeight="1">
      <c r="B24" s="4" t="inlineStr">
        <is>
          <t>No hardcoded dates. Aging and the payment run use TODAY(), so the workbook is still correct next month with no edits.</t>
        </is>
      </c>
    </row>
    <row r="25" ht="36" customHeight="1">
      <c r="B25" s="4" t="inlineStr">
        <is>
          <t>Formulas restricted to SUMIFS, COUNTIFS, SUMPRODUCT, IFERROR and TEXT, so it behaves identically in Google Sheets and in Excel, including older Excel without XLOOKUP or dynamic arrays.</t>
        </is>
      </c>
    </row>
    <row r="27">
      <c r="B27" s="3" t="inlineStr">
        <is>
          <t>How it is checked</t>
        </is>
      </c>
    </row>
    <row r="29" ht="66" customHeight="1">
      <c r="B29" s="4" t="inlineStr">
        <is>
          <t>verify-reconciliation.py recomputes every headline figure independently, in Python, straight from the raw data - and fails if its answer disagrees with the workbook's. The sample data has four problems planted in it on purpose: a payment with no bill behind it, the same supplier paid twice, an unmapped merchant fee, and an unidentified deposit. The checker asserts the workbook finds all four.</t>
        </is>
      </c>
    </row>
    <row r="31">
      <c r="B31" s="3" t="inlineStr">
        <is>
          <t>Honest note</t>
        </is>
      </c>
    </row>
    <row r="33" ht="36" customHeight="1">
      <c r="B33" s="4" t="inlineStr">
        <is>
          <t>The data is synthetic and the business is invented. This is a demonstration of method, not client work, and it is not presented as anything else.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04"/>
  <sheetViews>
    <sheetView showGridLines="1" workbookViewId="0">
      <pane ySplit="4" topLeftCell="A5" activePane="bottomLeft" state="frozen"/>
      <selection pane="bottomLeft" activeCell="A1" sqref="A1"/>
    </sheetView>
  </sheetViews>
  <sheetFormatPr baseColWidth="8" defaultRowHeight="15"/>
  <cols>
    <col width="12" customWidth="1" min="1" max="1"/>
    <col width="34" customWidth="1" min="2" max="2"/>
    <col width="13" customWidth="1" min="3" max="3"/>
    <col width="13" customWidth="1" min="4" max="4"/>
    <col width="13" customWidth="1" min="5" max="5"/>
    <col width="16" customWidth="1" min="6" max="6"/>
    <col width="11" customWidth="1" min="7" max="7"/>
    <col width="30" customWidth="1" min="8" max="8"/>
  </cols>
  <sheetData>
    <row r="1">
      <c r="A1" s="1" t="inlineStr">
        <is>
          <t>Bank statement - paste new lines under the last row</t>
        </is>
      </c>
    </row>
    <row r="2">
      <c r="A2" s="2" t="inlineStr">
        <is>
          <t>Columns A-D are the only ones you type. E to H are formulas and rebuild themselves; do not overwrite them.</t>
        </is>
      </c>
      <c r="F2" s="5" t="inlineStr">
        <is>
          <t>Opening balance</t>
        </is>
      </c>
      <c r="G2" s="6" t="n">
        <v>0</v>
      </c>
      <c r="H2" s="5" t="inlineStr">
        <is>
          <t>&lt;- type these two from the statement</t>
        </is>
      </c>
    </row>
    <row r="3">
      <c r="F3" s="5" t="inlineStr">
        <is>
          <t>Closing balance per statement</t>
        </is>
      </c>
      <c r="G3" s="6" t="n">
        <v>0</v>
      </c>
    </row>
    <row r="4" ht="26" customHeight="1">
      <c r="A4" s="7" t="inlineStr">
        <is>
          <t>Date</t>
        </is>
      </c>
      <c r="B4" s="7" t="inlineStr">
        <is>
          <t>Bank description</t>
        </is>
      </c>
      <c r="C4" s="7" t="inlineStr">
        <is>
          <t>Money in</t>
        </is>
      </c>
      <c r="D4" s="7" t="inlineStr">
        <is>
          <t>Money out</t>
        </is>
      </c>
      <c r="E4" s="7" t="inlineStr">
        <is>
          <t>Net</t>
        </is>
      </c>
      <c r="F4" s="7" t="inlineStr">
        <is>
          <t>Match key</t>
        </is>
      </c>
      <c r="G4" s="7" t="inlineStr">
        <is>
          <t>In ledger</t>
        </is>
      </c>
      <c r="H4" s="7" t="inlineStr">
        <is>
          <t>Status</t>
        </is>
      </c>
    </row>
    <row r="5">
      <c r="A5" s="8" t="n"/>
      <c r="B5" s="9" t="n"/>
      <c r="C5" s="10" t="n"/>
      <c r="D5" s="10" t="n"/>
      <c r="E5" s="10">
        <f>N(C5)-N(D5)</f>
        <v/>
      </c>
      <c r="F5" s="9">
        <f>IF(E5=0,"",TEXT(ABS(E5),"0.00")&amp;"|"&amp;IF(E5&gt;0,"AR","AP"))</f>
        <v/>
      </c>
      <c r="G5" s="9">
        <f>IF(F5="","",COUNTIF(Ledger!$H:$H,F5))</f>
        <v/>
      </c>
      <c r="H5" s="9">
        <f>IF(F5="","",IF(COUNTIF($F:$F,F5)&gt;1,"REVIEW - same amount appears twice",IF(G5=0,"UNMATCHED - no ledger entry",IF(G5&gt;1,"REVIEW - matches several ledger entries","Matched"))))</f>
        <v/>
      </c>
    </row>
    <row r="6">
      <c r="A6" s="8" t="n"/>
      <c r="B6" s="9" t="n"/>
      <c r="C6" s="10" t="n"/>
      <c r="D6" s="10" t="n"/>
      <c r="E6" s="10">
        <f>N(C6)-N(D6)</f>
        <v/>
      </c>
      <c r="F6" s="9">
        <f>IF(E6=0,"",TEXT(ABS(E6),"0.00")&amp;"|"&amp;IF(E6&gt;0,"AR","AP"))</f>
        <v/>
      </c>
      <c r="G6" s="9">
        <f>IF(F6="","",COUNTIF(Ledger!$H:$H,F6))</f>
        <v/>
      </c>
      <c r="H6" s="9">
        <f>IF(F6="","",IF(COUNTIF($F:$F,F6)&gt;1,"REVIEW - same amount appears twice",IF(G6=0,"UNMATCHED - no ledger entry",IF(G6&gt;1,"REVIEW - matches several ledger entries","Matched"))))</f>
        <v/>
      </c>
    </row>
    <row r="7">
      <c r="A7" s="8" t="n"/>
      <c r="B7" s="9" t="n"/>
      <c r="C7" s="10" t="n"/>
      <c r="D7" s="10" t="n"/>
      <c r="E7" s="10">
        <f>N(C7)-N(D7)</f>
        <v/>
      </c>
      <c r="F7" s="9">
        <f>IF(E7=0,"",TEXT(ABS(E7),"0.00")&amp;"|"&amp;IF(E7&gt;0,"AR","AP"))</f>
        <v/>
      </c>
      <c r="G7" s="9">
        <f>IF(F7="","",COUNTIF(Ledger!$H:$H,F7))</f>
        <v/>
      </c>
      <c r="H7" s="9">
        <f>IF(F7="","",IF(COUNTIF($F:$F,F7)&gt;1,"REVIEW - same amount appears twice",IF(G7=0,"UNMATCHED - no ledger entry",IF(G7&gt;1,"REVIEW - matches several ledger entries","Matched"))))</f>
        <v/>
      </c>
    </row>
    <row r="8">
      <c r="A8" s="8" t="n"/>
      <c r="B8" s="9" t="n"/>
      <c r="C8" s="10" t="n"/>
      <c r="D8" s="10" t="n"/>
      <c r="E8" s="10">
        <f>N(C8)-N(D8)</f>
        <v/>
      </c>
      <c r="F8" s="9">
        <f>IF(E8=0,"",TEXT(ABS(E8),"0.00")&amp;"|"&amp;IF(E8&gt;0,"AR","AP"))</f>
        <v/>
      </c>
      <c r="G8" s="9">
        <f>IF(F8="","",COUNTIF(Ledger!$H:$H,F8))</f>
        <v/>
      </c>
      <c r="H8" s="9">
        <f>IF(F8="","",IF(COUNTIF($F:$F,F8)&gt;1,"REVIEW - same amount appears twice",IF(G8=0,"UNMATCHED - no ledger entry",IF(G8&gt;1,"REVIEW - matches several ledger entries","Matched"))))</f>
        <v/>
      </c>
    </row>
    <row r="9">
      <c r="A9" s="8" t="n"/>
      <c r="B9" s="9" t="n"/>
      <c r="C9" s="10" t="n"/>
      <c r="D9" s="10" t="n"/>
      <c r="E9" s="10">
        <f>N(C9)-N(D9)</f>
        <v/>
      </c>
      <c r="F9" s="9">
        <f>IF(E9=0,"",TEXT(ABS(E9),"0.00")&amp;"|"&amp;IF(E9&gt;0,"AR","AP"))</f>
        <v/>
      </c>
      <c r="G9" s="9">
        <f>IF(F9="","",COUNTIF(Ledger!$H:$H,F9))</f>
        <v/>
      </c>
      <c r="H9" s="9">
        <f>IF(F9="","",IF(COUNTIF($F:$F,F9)&gt;1,"REVIEW - same amount appears twice",IF(G9=0,"UNMATCHED - no ledger entry",IF(G9&gt;1,"REVIEW - matches several ledger entries","Matched"))))</f>
        <v/>
      </c>
    </row>
    <row r="10">
      <c r="A10" s="8" t="n"/>
      <c r="B10" s="9" t="n"/>
      <c r="C10" s="10" t="n"/>
      <c r="D10" s="10" t="n"/>
      <c r="E10" s="10">
        <f>N(C10)-N(D10)</f>
        <v/>
      </c>
      <c r="F10" s="9">
        <f>IF(E10=0,"",TEXT(ABS(E10),"0.00")&amp;"|"&amp;IF(E10&gt;0,"AR","AP"))</f>
        <v/>
      </c>
      <c r="G10" s="9">
        <f>IF(F10="","",COUNTIF(Ledger!$H:$H,F10))</f>
        <v/>
      </c>
      <c r="H10" s="9">
        <f>IF(F10="","",IF(COUNTIF($F:$F,F10)&gt;1,"REVIEW - same amount appears twice",IF(G10=0,"UNMATCHED - no ledger entry",IF(G10&gt;1,"REVIEW - matches several ledger entries","Matched"))))</f>
        <v/>
      </c>
    </row>
    <row r="11">
      <c r="A11" s="8" t="n"/>
      <c r="B11" s="9" t="n"/>
      <c r="C11" s="10" t="n"/>
      <c r="D11" s="10" t="n"/>
      <c r="E11" s="10">
        <f>N(C11)-N(D11)</f>
        <v/>
      </c>
      <c r="F11" s="9">
        <f>IF(E11=0,"",TEXT(ABS(E11),"0.00")&amp;"|"&amp;IF(E11&gt;0,"AR","AP"))</f>
        <v/>
      </c>
      <c r="G11" s="9">
        <f>IF(F11="","",COUNTIF(Ledger!$H:$H,F11))</f>
        <v/>
      </c>
      <c r="H11" s="9">
        <f>IF(F11="","",IF(COUNTIF($F:$F,F11)&gt;1,"REVIEW - same amount appears twice",IF(G11=0,"UNMATCHED - no ledger entry",IF(G11&gt;1,"REVIEW - matches several ledger entries","Matched"))))</f>
        <v/>
      </c>
    </row>
    <row r="12">
      <c r="A12" s="8" t="n"/>
      <c r="B12" s="9" t="n"/>
      <c r="C12" s="10" t="n"/>
      <c r="D12" s="10" t="n"/>
      <c r="E12" s="10">
        <f>N(C12)-N(D12)</f>
        <v/>
      </c>
      <c r="F12" s="9">
        <f>IF(E12=0,"",TEXT(ABS(E12),"0.00")&amp;"|"&amp;IF(E12&gt;0,"AR","AP"))</f>
        <v/>
      </c>
      <c r="G12" s="9">
        <f>IF(F12="","",COUNTIF(Ledger!$H:$H,F12))</f>
        <v/>
      </c>
      <c r="H12" s="9">
        <f>IF(F12="","",IF(COUNTIF($F:$F,F12)&gt;1,"REVIEW - same amount appears twice",IF(G12=0,"UNMATCHED - no ledger entry",IF(G12&gt;1,"REVIEW - matches several ledger entries","Matched"))))</f>
        <v/>
      </c>
    </row>
    <row r="13">
      <c r="A13" s="8" t="n"/>
      <c r="B13" s="9" t="n"/>
      <c r="C13" s="10" t="n"/>
      <c r="D13" s="10" t="n"/>
      <c r="E13" s="10">
        <f>N(C13)-N(D13)</f>
        <v/>
      </c>
      <c r="F13" s="9">
        <f>IF(E13=0,"",TEXT(ABS(E13),"0.00")&amp;"|"&amp;IF(E13&gt;0,"AR","AP"))</f>
        <v/>
      </c>
      <c r="G13" s="9">
        <f>IF(F13="","",COUNTIF(Ledger!$H:$H,F13))</f>
        <v/>
      </c>
      <c r="H13" s="9">
        <f>IF(F13="","",IF(COUNTIF($F:$F,F13)&gt;1,"REVIEW - same amount appears twice",IF(G13=0,"UNMATCHED - no ledger entry",IF(G13&gt;1,"REVIEW - matches several ledger entries","Matched"))))</f>
        <v/>
      </c>
    </row>
    <row r="14">
      <c r="A14" s="8" t="n"/>
      <c r="B14" s="9" t="n"/>
      <c r="C14" s="10" t="n"/>
      <c r="D14" s="10" t="n"/>
      <c r="E14" s="10">
        <f>N(C14)-N(D14)</f>
        <v/>
      </c>
      <c r="F14" s="9">
        <f>IF(E14=0,"",TEXT(ABS(E14),"0.00")&amp;"|"&amp;IF(E14&gt;0,"AR","AP"))</f>
        <v/>
      </c>
      <c r="G14" s="9">
        <f>IF(F14="","",COUNTIF(Ledger!$H:$H,F14))</f>
        <v/>
      </c>
      <c r="H14" s="9">
        <f>IF(F14="","",IF(COUNTIF($F:$F,F14)&gt;1,"REVIEW - same amount appears twice",IF(G14=0,"UNMATCHED - no ledger entry",IF(G14&gt;1,"REVIEW - matches several ledger entries","Matched"))))</f>
        <v/>
      </c>
    </row>
    <row r="15">
      <c r="A15" s="8" t="n"/>
      <c r="B15" s="9" t="n"/>
      <c r="C15" s="10" t="n"/>
      <c r="D15" s="10" t="n"/>
      <c r="E15" s="10">
        <f>N(C15)-N(D15)</f>
        <v/>
      </c>
      <c r="F15" s="9">
        <f>IF(E15=0,"",TEXT(ABS(E15),"0.00")&amp;"|"&amp;IF(E15&gt;0,"AR","AP"))</f>
        <v/>
      </c>
      <c r="G15" s="9">
        <f>IF(F15="","",COUNTIF(Ledger!$H:$H,F15))</f>
        <v/>
      </c>
      <c r="H15" s="9">
        <f>IF(F15="","",IF(COUNTIF($F:$F,F15)&gt;1,"REVIEW - same amount appears twice",IF(G15=0,"UNMATCHED - no ledger entry",IF(G15&gt;1,"REVIEW - matches several ledger entries","Matched"))))</f>
        <v/>
      </c>
    </row>
    <row r="16">
      <c r="A16" s="8" t="n"/>
      <c r="B16" s="9" t="n"/>
      <c r="C16" s="10" t="n"/>
      <c r="D16" s="10" t="n"/>
      <c r="E16" s="10">
        <f>N(C16)-N(D16)</f>
        <v/>
      </c>
      <c r="F16" s="9">
        <f>IF(E16=0,"",TEXT(ABS(E16),"0.00")&amp;"|"&amp;IF(E16&gt;0,"AR","AP"))</f>
        <v/>
      </c>
      <c r="G16" s="9">
        <f>IF(F16="","",COUNTIF(Ledger!$H:$H,F16))</f>
        <v/>
      </c>
      <c r="H16" s="9">
        <f>IF(F16="","",IF(COUNTIF($F:$F,F16)&gt;1,"REVIEW - same amount appears twice",IF(G16=0,"UNMATCHED - no ledger entry",IF(G16&gt;1,"REVIEW - matches several ledger entries","Matched"))))</f>
        <v/>
      </c>
    </row>
    <row r="17">
      <c r="A17" s="8" t="n"/>
      <c r="B17" s="9" t="n"/>
      <c r="C17" s="10" t="n"/>
      <c r="D17" s="10" t="n"/>
      <c r="E17" s="10">
        <f>N(C17)-N(D17)</f>
        <v/>
      </c>
      <c r="F17" s="9">
        <f>IF(E17=0,"",TEXT(ABS(E17),"0.00")&amp;"|"&amp;IF(E17&gt;0,"AR","AP"))</f>
        <v/>
      </c>
      <c r="G17" s="9">
        <f>IF(F17="","",COUNTIF(Ledger!$H:$H,F17))</f>
        <v/>
      </c>
      <c r="H17" s="9">
        <f>IF(F17="","",IF(COUNTIF($F:$F,F17)&gt;1,"REVIEW - same amount appears twice",IF(G17=0,"UNMATCHED - no ledger entry",IF(G17&gt;1,"REVIEW - matches several ledger entries","Matched"))))</f>
        <v/>
      </c>
    </row>
    <row r="18">
      <c r="A18" s="8" t="n"/>
      <c r="B18" s="9" t="n"/>
      <c r="C18" s="10" t="n"/>
      <c r="D18" s="10" t="n"/>
      <c r="E18" s="10">
        <f>N(C18)-N(D18)</f>
        <v/>
      </c>
      <c r="F18" s="9">
        <f>IF(E18=0,"",TEXT(ABS(E18),"0.00")&amp;"|"&amp;IF(E18&gt;0,"AR","AP"))</f>
        <v/>
      </c>
      <c r="G18" s="9">
        <f>IF(F18="","",COUNTIF(Ledger!$H:$H,F18))</f>
        <v/>
      </c>
      <c r="H18" s="9">
        <f>IF(F18="","",IF(COUNTIF($F:$F,F18)&gt;1,"REVIEW - same amount appears twice",IF(G18=0,"UNMATCHED - no ledger entry",IF(G18&gt;1,"REVIEW - matches several ledger entries","Matched"))))</f>
        <v/>
      </c>
    </row>
    <row r="19">
      <c r="A19" s="8" t="n"/>
      <c r="B19" s="9" t="n"/>
      <c r="C19" s="10" t="n"/>
      <c r="D19" s="10" t="n"/>
      <c r="E19" s="10">
        <f>N(C19)-N(D19)</f>
        <v/>
      </c>
      <c r="F19" s="9">
        <f>IF(E19=0,"",TEXT(ABS(E19),"0.00")&amp;"|"&amp;IF(E19&gt;0,"AR","AP"))</f>
        <v/>
      </c>
      <c r="G19" s="9">
        <f>IF(F19="","",COUNTIF(Ledger!$H:$H,F19))</f>
        <v/>
      </c>
      <c r="H19" s="9">
        <f>IF(F19="","",IF(COUNTIF($F:$F,F19)&gt;1,"REVIEW - same amount appears twice",IF(G19=0,"UNMATCHED - no ledger entry",IF(G19&gt;1,"REVIEW - matches several ledger entries","Matched"))))</f>
        <v/>
      </c>
    </row>
    <row r="20">
      <c r="A20" s="8" t="n"/>
      <c r="B20" s="9" t="n"/>
      <c r="C20" s="10" t="n"/>
      <c r="D20" s="10" t="n"/>
      <c r="E20" s="10">
        <f>N(C20)-N(D20)</f>
        <v/>
      </c>
      <c r="F20" s="9">
        <f>IF(E20=0,"",TEXT(ABS(E20),"0.00")&amp;"|"&amp;IF(E20&gt;0,"AR","AP"))</f>
        <v/>
      </c>
      <c r="G20" s="9">
        <f>IF(F20="","",COUNTIF(Ledger!$H:$H,F20))</f>
        <v/>
      </c>
      <c r="H20" s="9">
        <f>IF(F20="","",IF(COUNTIF($F:$F,F20)&gt;1,"REVIEW - same amount appears twice",IF(G20=0,"UNMATCHED - no ledger entry",IF(G20&gt;1,"REVIEW - matches several ledger entries","Matched"))))</f>
        <v/>
      </c>
    </row>
    <row r="21">
      <c r="A21" s="8" t="n"/>
      <c r="B21" s="9" t="n"/>
      <c r="C21" s="10" t="n"/>
      <c r="D21" s="10" t="n"/>
      <c r="E21" s="10">
        <f>N(C21)-N(D21)</f>
        <v/>
      </c>
      <c r="F21" s="9">
        <f>IF(E21=0,"",TEXT(ABS(E21),"0.00")&amp;"|"&amp;IF(E21&gt;0,"AR","AP"))</f>
        <v/>
      </c>
      <c r="G21" s="9">
        <f>IF(F21="","",COUNTIF(Ledger!$H:$H,F21))</f>
        <v/>
      </c>
      <c r="H21" s="9">
        <f>IF(F21="","",IF(COUNTIF($F:$F,F21)&gt;1,"REVIEW - same amount appears twice",IF(G21=0,"UNMATCHED - no ledger entry",IF(G21&gt;1,"REVIEW - matches several ledger entries","Matched"))))</f>
        <v/>
      </c>
    </row>
    <row r="22">
      <c r="A22" s="8" t="n"/>
      <c r="B22" s="9" t="n"/>
      <c r="C22" s="10" t="n"/>
      <c r="D22" s="10" t="n"/>
      <c r="E22" s="10">
        <f>N(C22)-N(D22)</f>
        <v/>
      </c>
      <c r="F22" s="9">
        <f>IF(E22=0,"",TEXT(ABS(E22),"0.00")&amp;"|"&amp;IF(E22&gt;0,"AR","AP"))</f>
        <v/>
      </c>
      <c r="G22" s="9">
        <f>IF(F22="","",COUNTIF(Ledger!$H:$H,F22))</f>
        <v/>
      </c>
      <c r="H22" s="9">
        <f>IF(F22="","",IF(COUNTIF($F:$F,F22)&gt;1,"REVIEW - same amount appears twice",IF(G22=0,"UNMATCHED - no ledger entry",IF(G22&gt;1,"REVIEW - matches several ledger entries","Matched"))))</f>
        <v/>
      </c>
    </row>
    <row r="23">
      <c r="A23" s="8" t="n"/>
      <c r="B23" s="9" t="n"/>
      <c r="C23" s="10" t="n"/>
      <c r="D23" s="10" t="n"/>
      <c r="E23" s="10">
        <f>N(C23)-N(D23)</f>
        <v/>
      </c>
      <c r="F23" s="9">
        <f>IF(E23=0,"",TEXT(ABS(E23),"0.00")&amp;"|"&amp;IF(E23&gt;0,"AR","AP"))</f>
        <v/>
      </c>
      <c r="G23" s="9">
        <f>IF(F23="","",COUNTIF(Ledger!$H:$H,F23))</f>
        <v/>
      </c>
      <c r="H23" s="9">
        <f>IF(F23="","",IF(COUNTIF($F:$F,F23)&gt;1,"REVIEW - same amount appears twice",IF(G23=0,"UNMATCHED - no ledger entry",IF(G23&gt;1,"REVIEW - matches several ledger entries","Matched"))))</f>
        <v/>
      </c>
    </row>
    <row r="24">
      <c r="A24" s="8" t="n"/>
      <c r="B24" s="9" t="n"/>
      <c r="C24" s="10" t="n"/>
      <c r="D24" s="10" t="n"/>
      <c r="E24" s="10">
        <f>N(C24)-N(D24)</f>
        <v/>
      </c>
      <c r="F24" s="9">
        <f>IF(E24=0,"",TEXT(ABS(E24),"0.00")&amp;"|"&amp;IF(E24&gt;0,"AR","AP"))</f>
        <v/>
      </c>
      <c r="G24" s="9">
        <f>IF(F24="","",COUNTIF(Ledger!$H:$H,F24))</f>
        <v/>
      </c>
      <c r="H24" s="9">
        <f>IF(F24="","",IF(COUNTIF($F:$F,F24)&gt;1,"REVIEW - same amount appears twice",IF(G24=0,"UNMATCHED - no ledger entry",IF(G24&gt;1,"REVIEW - matches several ledger entries","Matched"))))</f>
        <v/>
      </c>
    </row>
    <row r="25">
      <c r="A25" s="8" t="n"/>
      <c r="B25" s="9" t="n"/>
      <c r="C25" s="10" t="n"/>
      <c r="D25" s="10" t="n"/>
      <c r="E25" s="10">
        <f>N(C25)-N(D25)</f>
        <v/>
      </c>
      <c r="F25" s="9">
        <f>IF(E25=0,"",TEXT(ABS(E25),"0.00")&amp;"|"&amp;IF(E25&gt;0,"AR","AP"))</f>
        <v/>
      </c>
      <c r="G25" s="9">
        <f>IF(F25="","",COUNTIF(Ledger!$H:$H,F25))</f>
        <v/>
      </c>
      <c r="H25" s="9">
        <f>IF(F25="","",IF(COUNTIF($F:$F,F25)&gt;1,"REVIEW - same amount appears twice",IF(G25=0,"UNMATCHED - no ledger entry",IF(G25&gt;1,"REVIEW - matches several ledger entries","Matched"))))</f>
        <v/>
      </c>
    </row>
    <row r="26">
      <c r="A26" s="8" t="n"/>
      <c r="B26" s="9" t="n"/>
      <c r="C26" s="10" t="n"/>
      <c r="D26" s="10" t="n"/>
      <c r="E26" s="10">
        <f>N(C26)-N(D26)</f>
        <v/>
      </c>
      <c r="F26" s="9">
        <f>IF(E26=0,"",TEXT(ABS(E26),"0.00")&amp;"|"&amp;IF(E26&gt;0,"AR","AP"))</f>
        <v/>
      </c>
      <c r="G26" s="9">
        <f>IF(F26="","",COUNTIF(Ledger!$H:$H,F26))</f>
        <v/>
      </c>
      <c r="H26" s="9">
        <f>IF(F26="","",IF(COUNTIF($F:$F,F26)&gt;1,"REVIEW - same amount appears twice",IF(G26=0,"UNMATCHED - no ledger entry",IF(G26&gt;1,"REVIEW - matches several ledger entries","Matched"))))</f>
        <v/>
      </c>
    </row>
    <row r="27">
      <c r="A27" s="8" t="n"/>
      <c r="B27" s="9" t="n"/>
      <c r="C27" s="10" t="n"/>
      <c r="D27" s="10" t="n"/>
      <c r="E27" s="10">
        <f>N(C27)-N(D27)</f>
        <v/>
      </c>
      <c r="F27" s="9">
        <f>IF(E27=0,"",TEXT(ABS(E27),"0.00")&amp;"|"&amp;IF(E27&gt;0,"AR","AP"))</f>
        <v/>
      </c>
      <c r="G27" s="9">
        <f>IF(F27="","",COUNTIF(Ledger!$H:$H,F27))</f>
        <v/>
      </c>
      <c r="H27" s="9">
        <f>IF(F27="","",IF(COUNTIF($F:$F,F27)&gt;1,"REVIEW - same amount appears twice",IF(G27=0,"UNMATCHED - no ledger entry",IF(G27&gt;1,"REVIEW - matches several ledger entries","Matched"))))</f>
        <v/>
      </c>
    </row>
    <row r="28">
      <c r="A28" s="8" t="n"/>
      <c r="B28" s="9" t="n"/>
      <c r="C28" s="10" t="n"/>
      <c r="D28" s="10" t="n"/>
      <c r="E28" s="10">
        <f>N(C28)-N(D28)</f>
        <v/>
      </c>
      <c r="F28" s="9">
        <f>IF(E28=0,"",TEXT(ABS(E28),"0.00")&amp;"|"&amp;IF(E28&gt;0,"AR","AP"))</f>
        <v/>
      </c>
      <c r="G28" s="9">
        <f>IF(F28="","",COUNTIF(Ledger!$H:$H,F28))</f>
        <v/>
      </c>
      <c r="H28" s="9">
        <f>IF(F28="","",IF(COUNTIF($F:$F,F28)&gt;1,"REVIEW - same amount appears twice",IF(G28=0,"UNMATCHED - no ledger entry",IF(G28&gt;1,"REVIEW - matches several ledger entries","Matched"))))</f>
        <v/>
      </c>
    </row>
    <row r="29">
      <c r="A29" s="8" t="n"/>
      <c r="B29" s="9" t="n"/>
      <c r="C29" s="10" t="n"/>
      <c r="D29" s="10" t="n"/>
      <c r="E29" s="10">
        <f>N(C29)-N(D29)</f>
        <v/>
      </c>
      <c r="F29" s="9">
        <f>IF(E29=0,"",TEXT(ABS(E29),"0.00")&amp;"|"&amp;IF(E29&gt;0,"AR","AP"))</f>
        <v/>
      </c>
      <c r="G29" s="9">
        <f>IF(F29="","",COUNTIF(Ledger!$H:$H,F29))</f>
        <v/>
      </c>
      <c r="H29" s="9">
        <f>IF(F29="","",IF(COUNTIF($F:$F,F29)&gt;1,"REVIEW - same amount appears twice",IF(G29=0,"UNMATCHED - no ledger entry",IF(G29&gt;1,"REVIEW - matches several ledger entries","Matched"))))</f>
        <v/>
      </c>
    </row>
    <row r="30">
      <c r="A30" s="8" t="n"/>
      <c r="B30" s="9" t="n"/>
      <c r="C30" s="10" t="n"/>
      <c r="D30" s="10" t="n"/>
      <c r="E30" s="10">
        <f>N(C30)-N(D30)</f>
        <v/>
      </c>
      <c r="F30" s="9">
        <f>IF(E30=0,"",TEXT(ABS(E30),"0.00")&amp;"|"&amp;IF(E30&gt;0,"AR","AP"))</f>
        <v/>
      </c>
      <c r="G30" s="9">
        <f>IF(F30="","",COUNTIF(Ledger!$H:$H,F30))</f>
        <v/>
      </c>
      <c r="H30" s="9">
        <f>IF(F30="","",IF(COUNTIF($F:$F,F30)&gt;1,"REVIEW - same amount appears twice",IF(G30=0,"UNMATCHED - no ledger entry",IF(G30&gt;1,"REVIEW - matches several ledger entries","Matched"))))</f>
        <v/>
      </c>
    </row>
    <row r="31">
      <c r="A31" s="8" t="n"/>
      <c r="B31" s="9" t="n"/>
      <c r="C31" s="10" t="n"/>
      <c r="D31" s="10" t="n"/>
      <c r="E31" s="10">
        <f>N(C31)-N(D31)</f>
        <v/>
      </c>
      <c r="F31" s="9">
        <f>IF(E31=0,"",TEXT(ABS(E31),"0.00")&amp;"|"&amp;IF(E31&gt;0,"AR","AP"))</f>
        <v/>
      </c>
      <c r="G31" s="9">
        <f>IF(F31="","",COUNTIF(Ledger!$H:$H,F31))</f>
        <v/>
      </c>
      <c r="H31" s="9">
        <f>IF(F31="","",IF(COUNTIF($F:$F,F31)&gt;1,"REVIEW - same amount appears twice",IF(G31=0,"UNMATCHED - no ledger entry",IF(G31&gt;1,"REVIEW - matches several ledger entries","Matched"))))</f>
        <v/>
      </c>
    </row>
    <row r="32">
      <c r="A32" s="8" t="n"/>
      <c r="B32" s="9" t="n"/>
      <c r="C32" s="10" t="n"/>
      <c r="D32" s="10" t="n"/>
      <c r="E32" s="10">
        <f>N(C32)-N(D32)</f>
        <v/>
      </c>
      <c r="F32" s="9">
        <f>IF(E32=0,"",TEXT(ABS(E32),"0.00")&amp;"|"&amp;IF(E32&gt;0,"AR","AP"))</f>
        <v/>
      </c>
      <c r="G32" s="9">
        <f>IF(F32="","",COUNTIF(Ledger!$H:$H,F32))</f>
        <v/>
      </c>
      <c r="H32" s="9">
        <f>IF(F32="","",IF(COUNTIF($F:$F,F32)&gt;1,"REVIEW - same amount appears twice",IF(G32=0,"UNMATCHED - no ledger entry",IF(G32&gt;1,"REVIEW - matches several ledger entries","Matched"))))</f>
        <v/>
      </c>
    </row>
    <row r="33">
      <c r="A33" s="8" t="n"/>
      <c r="B33" s="9" t="n"/>
      <c r="C33" s="10" t="n"/>
      <c r="D33" s="10" t="n"/>
      <c r="E33" s="10">
        <f>N(C33)-N(D33)</f>
        <v/>
      </c>
      <c r="F33" s="9">
        <f>IF(E33=0,"",TEXT(ABS(E33),"0.00")&amp;"|"&amp;IF(E33&gt;0,"AR","AP"))</f>
        <v/>
      </c>
      <c r="G33" s="9">
        <f>IF(F33="","",COUNTIF(Ledger!$H:$H,F33))</f>
        <v/>
      </c>
      <c r="H33" s="9">
        <f>IF(F33="","",IF(COUNTIF($F:$F,F33)&gt;1,"REVIEW - same amount appears twice",IF(G33=0,"UNMATCHED - no ledger entry",IF(G33&gt;1,"REVIEW - matches several ledger entries","Matched"))))</f>
        <v/>
      </c>
    </row>
    <row r="34">
      <c r="A34" s="8" t="n"/>
      <c r="B34" s="9" t="n"/>
      <c r="C34" s="10" t="n"/>
      <c r="D34" s="10" t="n"/>
      <c r="E34" s="10">
        <f>N(C34)-N(D34)</f>
        <v/>
      </c>
      <c r="F34" s="9">
        <f>IF(E34=0,"",TEXT(ABS(E34),"0.00")&amp;"|"&amp;IF(E34&gt;0,"AR","AP"))</f>
        <v/>
      </c>
      <c r="G34" s="9">
        <f>IF(F34="","",COUNTIF(Ledger!$H:$H,F34))</f>
        <v/>
      </c>
      <c r="H34" s="9">
        <f>IF(F34="","",IF(COUNTIF($F:$F,F34)&gt;1,"REVIEW - same amount appears twice",IF(G34=0,"UNMATCHED - no ledger entry",IF(G34&gt;1,"REVIEW - matches several ledger entries","Matched"))))</f>
        <v/>
      </c>
    </row>
    <row r="35">
      <c r="A35" s="8" t="n"/>
      <c r="B35" s="9" t="n"/>
      <c r="C35" s="10" t="n"/>
      <c r="D35" s="10" t="n"/>
      <c r="E35" s="10">
        <f>N(C35)-N(D35)</f>
        <v/>
      </c>
      <c r="F35" s="9">
        <f>IF(E35=0,"",TEXT(ABS(E35),"0.00")&amp;"|"&amp;IF(E35&gt;0,"AR","AP"))</f>
        <v/>
      </c>
      <c r="G35" s="9">
        <f>IF(F35="","",COUNTIF(Ledger!$H:$H,F35))</f>
        <v/>
      </c>
      <c r="H35" s="9">
        <f>IF(F35="","",IF(COUNTIF($F:$F,F35)&gt;1,"REVIEW - same amount appears twice",IF(G35=0,"UNMATCHED - no ledger entry",IF(G35&gt;1,"REVIEW - matches several ledger entries","Matched"))))</f>
        <v/>
      </c>
    </row>
    <row r="36">
      <c r="A36" s="8" t="n"/>
      <c r="B36" s="9" t="n"/>
      <c r="C36" s="10" t="n"/>
      <c r="D36" s="10" t="n"/>
      <c r="E36" s="10">
        <f>N(C36)-N(D36)</f>
        <v/>
      </c>
      <c r="F36" s="9">
        <f>IF(E36=0,"",TEXT(ABS(E36),"0.00")&amp;"|"&amp;IF(E36&gt;0,"AR","AP"))</f>
        <v/>
      </c>
      <c r="G36" s="9">
        <f>IF(F36="","",COUNTIF(Ledger!$H:$H,F36))</f>
        <v/>
      </c>
      <c r="H36" s="9">
        <f>IF(F36="","",IF(COUNTIF($F:$F,F36)&gt;1,"REVIEW - same amount appears twice",IF(G36=0,"UNMATCHED - no ledger entry",IF(G36&gt;1,"REVIEW - matches several ledger entries","Matched"))))</f>
        <v/>
      </c>
    </row>
    <row r="37">
      <c r="A37" s="8" t="n"/>
      <c r="B37" s="9" t="n"/>
      <c r="C37" s="10" t="n"/>
      <c r="D37" s="10" t="n"/>
      <c r="E37" s="10">
        <f>N(C37)-N(D37)</f>
        <v/>
      </c>
      <c r="F37" s="9">
        <f>IF(E37=0,"",TEXT(ABS(E37),"0.00")&amp;"|"&amp;IF(E37&gt;0,"AR","AP"))</f>
        <v/>
      </c>
      <c r="G37" s="9">
        <f>IF(F37="","",COUNTIF(Ledger!$H:$H,F37))</f>
        <v/>
      </c>
      <c r="H37" s="9">
        <f>IF(F37="","",IF(COUNTIF($F:$F,F37)&gt;1,"REVIEW - same amount appears twice",IF(G37=0,"UNMATCHED - no ledger entry",IF(G37&gt;1,"REVIEW - matches several ledger entries","Matched"))))</f>
        <v/>
      </c>
    </row>
    <row r="38">
      <c r="A38" s="8" t="n"/>
      <c r="B38" s="9" t="n"/>
      <c r="C38" s="10" t="n"/>
      <c r="D38" s="10" t="n"/>
      <c r="E38" s="10">
        <f>N(C38)-N(D38)</f>
        <v/>
      </c>
      <c r="F38" s="9">
        <f>IF(E38=0,"",TEXT(ABS(E38),"0.00")&amp;"|"&amp;IF(E38&gt;0,"AR","AP"))</f>
        <v/>
      </c>
      <c r="G38" s="9">
        <f>IF(F38="","",COUNTIF(Ledger!$H:$H,F38))</f>
        <v/>
      </c>
      <c r="H38" s="9">
        <f>IF(F38="","",IF(COUNTIF($F:$F,F38)&gt;1,"REVIEW - same amount appears twice",IF(G38=0,"UNMATCHED - no ledger entry",IF(G38&gt;1,"REVIEW - matches several ledger entries","Matched"))))</f>
        <v/>
      </c>
    </row>
    <row r="39">
      <c r="A39" s="8" t="n"/>
      <c r="B39" s="9" t="n"/>
      <c r="C39" s="10" t="n"/>
      <c r="D39" s="10" t="n"/>
      <c r="E39" s="10">
        <f>N(C39)-N(D39)</f>
        <v/>
      </c>
      <c r="F39" s="9">
        <f>IF(E39=0,"",TEXT(ABS(E39),"0.00")&amp;"|"&amp;IF(E39&gt;0,"AR","AP"))</f>
        <v/>
      </c>
      <c r="G39" s="9">
        <f>IF(F39="","",COUNTIF(Ledger!$H:$H,F39))</f>
        <v/>
      </c>
      <c r="H39" s="9">
        <f>IF(F39="","",IF(COUNTIF($F:$F,F39)&gt;1,"REVIEW - same amount appears twice",IF(G39=0,"UNMATCHED - no ledger entry",IF(G39&gt;1,"REVIEW - matches several ledger entries","Matched"))))</f>
        <v/>
      </c>
    </row>
    <row r="40">
      <c r="A40" s="8" t="n"/>
      <c r="B40" s="9" t="n"/>
      <c r="C40" s="10" t="n"/>
      <c r="D40" s="10" t="n"/>
      <c r="E40" s="10">
        <f>N(C40)-N(D40)</f>
        <v/>
      </c>
      <c r="F40" s="9">
        <f>IF(E40=0,"",TEXT(ABS(E40),"0.00")&amp;"|"&amp;IF(E40&gt;0,"AR","AP"))</f>
        <v/>
      </c>
      <c r="G40" s="9">
        <f>IF(F40="","",COUNTIF(Ledger!$H:$H,F40))</f>
        <v/>
      </c>
      <c r="H40" s="9">
        <f>IF(F40="","",IF(COUNTIF($F:$F,F40)&gt;1,"REVIEW - same amount appears twice",IF(G40=0,"UNMATCHED - no ledger entry",IF(G40&gt;1,"REVIEW - matches several ledger entries","Matched"))))</f>
        <v/>
      </c>
    </row>
    <row r="41">
      <c r="A41" s="8" t="n"/>
      <c r="B41" s="9" t="n"/>
      <c r="C41" s="10" t="n"/>
      <c r="D41" s="10" t="n"/>
      <c r="E41" s="10">
        <f>N(C41)-N(D41)</f>
        <v/>
      </c>
      <c r="F41" s="9">
        <f>IF(E41=0,"",TEXT(ABS(E41),"0.00")&amp;"|"&amp;IF(E41&gt;0,"AR","AP"))</f>
        <v/>
      </c>
      <c r="G41" s="9">
        <f>IF(F41="","",COUNTIF(Ledger!$H:$H,F41))</f>
        <v/>
      </c>
      <c r="H41" s="9">
        <f>IF(F41="","",IF(COUNTIF($F:$F,F41)&gt;1,"REVIEW - same amount appears twice",IF(G41=0,"UNMATCHED - no ledger entry",IF(G41&gt;1,"REVIEW - matches several ledger entries","Matched"))))</f>
        <v/>
      </c>
    </row>
    <row r="42">
      <c r="A42" s="8" t="n"/>
      <c r="B42" s="9" t="n"/>
      <c r="C42" s="10" t="n"/>
      <c r="D42" s="10" t="n"/>
      <c r="E42" s="10">
        <f>N(C42)-N(D42)</f>
        <v/>
      </c>
      <c r="F42" s="9">
        <f>IF(E42=0,"",TEXT(ABS(E42),"0.00")&amp;"|"&amp;IF(E42&gt;0,"AR","AP"))</f>
        <v/>
      </c>
      <c r="G42" s="9">
        <f>IF(F42="","",COUNTIF(Ledger!$H:$H,F42))</f>
        <v/>
      </c>
      <c r="H42" s="9">
        <f>IF(F42="","",IF(COUNTIF($F:$F,F42)&gt;1,"REVIEW - same amount appears twice",IF(G42=0,"UNMATCHED - no ledger entry",IF(G42&gt;1,"REVIEW - matches several ledger entries","Matched"))))</f>
        <v/>
      </c>
    </row>
    <row r="43">
      <c r="A43" s="8" t="n"/>
      <c r="B43" s="9" t="n"/>
      <c r="C43" s="10" t="n"/>
      <c r="D43" s="10" t="n"/>
      <c r="E43" s="10">
        <f>N(C43)-N(D43)</f>
        <v/>
      </c>
      <c r="F43" s="9">
        <f>IF(E43=0,"",TEXT(ABS(E43),"0.00")&amp;"|"&amp;IF(E43&gt;0,"AR","AP"))</f>
        <v/>
      </c>
      <c r="G43" s="9">
        <f>IF(F43="","",COUNTIF(Ledger!$H:$H,F43))</f>
        <v/>
      </c>
      <c r="H43" s="9">
        <f>IF(F43="","",IF(COUNTIF($F:$F,F43)&gt;1,"REVIEW - same amount appears twice",IF(G43=0,"UNMATCHED - no ledger entry",IF(G43&gt;1,"REVIEW - matches several ledger entries","Matched"))))</f>
        <v/>
      </c>
    </row>
    <row r="44">
      <c r="A44" s="8" t="n"/>
      <c r="B44" s="9" t="n"/>
      <c r="C44" s="10" t="n"/>
      <c r="D44" s="10" t="n"/>
      <c r="E44" s="10">
        <f>N(C44)-N(D44)</f>
        <v/>
      </c>
      <c r="F44" s="9">
        <f>IF(E44=0,"",TEXT(ABS(E44),"0.00")&amp;"|"&amp;IF(E44&gt;0,"AR","AP"))</f>
        <v/>
      </c>
      <c r="G44" s="9">
        <f>IF(F44="","",COUNTIF(Ledger!$H:$H,F44))</f>
        <v/>
      </c>
      <c r="H44" s="9">
        <f>IF(F44="","",IF(COUNTIF($F:$F,F44)&gt;1,"REVIEW - same amount appears twice",IF(G44=0,"UNMATCHED - no ledger entry",IF(G44&gt;1,"REVIEW - matches several ledger entries","Matched"))))</f>
        <v/>
      </c>
    </row>
    <row r="45">
      <c r="A45" s="8" t="n"/>
      <c r="B45" s="9" t="n"/>
      <c r="C45" s="10" t="n"/>
      <c r="D45" s="10" t="n"/>
      <c r="E45" s="10">
        <f>N(C45)-N(D45)</f>
        <v/>
      </c>
      <c r="F45" s="9">
        <f>IF(E45=0,"",TEXT(ABS(E45),"0.00")&amp;"|"&amp;IF(E45&gt;0,"AR","AP"))</f>
        <v/>
      </c>
      <c r="G45" s="9">
        <f>IF(F45="","",COUNTIF(Ledger!$H:$H,F45))</f>
        <v/>
      </c>
      <c r="H45" s="9">
        <f>IF(F45="","",IF(COUNTIF($F:$F,F45)&gt;1,"REVIEW - same amount appears twice",IF(G45=0,"UNMATCHED - no ledger entry",IF(G45&gt;1,"REVIEW - matches several ledger entries","Matched"))))</f>
        <v/>
      </c>
    </row>
    <row r="46">
      <c r="A46" s="8" t="n"/>
      <c r="B46" s="9" t="n"/>
      <c r="C46" s="10" t="n"/>
      <c r="D46" s="10" t="n"/>
      <c r="E46" s="10">
        <f>N(C46)-N(D46)</f>
        <v/>
      </c>
      <c r="F46" s="9">
        <f>IF(E46=0,"",TEXT(ABS(E46),"0.00")&amp;"|"&amp;IF(E46&gt;0,"AR","AP"))</f>
        <v/>
      </c>
      <c r="G46" s="9">
        <f>IF(F46="","",COUNTIF(Ledger!$H:$H,F46))</f>
        <v/>
      </c>
      <c r="H46" s="9">
        <f>IF(F46="","",IF(COUNTIF($F:$F,F46)&gt;1,"REVIEW - same amount appears twice",IF(G46=0,"UNMATCHED - no ledger entry",IF(G46&gt;1,"REVIEW - matches several ledger entries","Matched"))))</f>
        <v/>
      </c>
    </row>
    <row r="47">
      <c r="A47" s="8" t="n"/>
      <c r="B47" s="9" t="n"/>
      <c r="C47" s="10" t="n"/>
      <c r="D47" s="10" t="n"/>
      <c r="E47" s="10">
        <f>N(C47)-N(D47)</f>
        <v/>
      </c>
      <c r="F47" s="9">
        <f>IF(E47=0,"",TEXT(ABS(E47),"0.00")&amp;"|"&amp;IF(E47&gt;0,"AR","AP"))</f>
        <v/>
      </c>
      <c r="G47" s="9">
        <f>IF(F47="","",COUNTIF(Ledger!$H:$H,F47))</f>
        <v/>
      </c>
      <c r="H47" s="9">
        <f>IF(F47="","",IF(COUNTIF($F:$F,F47)&gt;1,"REVIEW - same amount appears twice",IF(G47=0,"UNMATCHED - no ledger entry",IF(G47&gt;1,"REVIEW - matches several ledger entries","Matched"))))</f>
        <v/>
      </c>
    </row>
    <row r="48">
      <c r="A48" s="8" t="n"/>
      <c r="B48" s="9" t="n"/>
      <c r="C48" s="10" t="n"/>
      <c r="D48" s="10" t="n"/>
      <c r="E48" s="10">
        <f>N(C48)-N(D48)</f>
        <v/>
      </c>
      <c r="F48" s="9">
        <f>IF(E48=0,"",TEXT(ABS(E48),"0.00")&amp;"|"&amp;IF(E48&gt;0,"AR","AP"))</f>
        <v/>
      </c>
      <c r="G48" s="9">
        <f>IF(F48="","",COUNTIF(Ledger!$H:$H,F48))</f>
        <v/>
      </c>
      <c r="H48" s="9">
        <f>IF(F48="","",IF(COUNTIF($F:$F,F48)&gt;1,"REVIEW - same amount appears twice",IF(G48=0,"UNMATCHED - no ledger entry",IF(G48&gt;1,"REVIEW - matches several ledger entries","Matched"))))</f>
        <v/>
      </c>
    </row>
    <row r="49">
      <c r="A49" s="8" t="n"/>
      <c r="B49" s="9" t="n"/>
      <c r="C49" s="10" t="n"/>
      <c r="D49" s="10" t="n"/>
      <c r="E49" s="10">
        <f>N(C49)-N(D49)</f>
        <v/>
      </c>
      <c r="F49" s="9">
        <f>IF(E49=0,"",TEXT(ABS(E49),"0.00")&amp;"|"&amp;IF(E49&gt;0,"AR","AP"))</f>
        <v/>
      </c>
      <c r="G49" s="9">
        <f>IF(F49="","",COUNTIF(Ledger!$H:$H,F49))</f>
        <v/>
      </c>
      <c r="H49" s="9">
        <f>IF(F49="","",IF(COUNTIF($F:$F,F49)&gt;1,"REVIEW - same amount appears twice",IF(G49=0,"UNMATCHED - no ledger entry",IF(G49&gt;1,"REVIEW - matches several ledger entries","Matched"))))</f>
        <v/>
      </c>
    </row>
    <row r="50">
      <c r="A50" s="8" t="n"/>
      <c r="B50" s="9" t="n"/>
      <c r="C50" s="10" t="n"/>
      <c r="D50" s="10" t="n"/>
      <c r="E50" s="10">
        <f>N(C50)-N(D50)</f>
        <v/>
      </c>
      <c r="F50" s="9">
        <f>IF(E50=0,"",TEXT(ABS(E50),"0.00")&amp;"|"&amp;IF(E50&gt;0,"AR","AP"))</f>
        <v/>
      </c>
      <c r="G50" s="9">
        <f>IF(F50="","",COUNTIF(Ledger!$H:$H,F50))</f>
        <v/>
      </c>
      <c r="H50" s="9">
        <f>IF(F50="","",IF(COUNTIF($F:$F,F50)&gt;1,"REVIEW - same amount appears twice",IF(G50=0,"UNMATCHED - no ledger entry",IF(G50&gt;1,"REVIEW - matches several ledger entries","Matched"))))</f>
        <v/>
      </c>
    </row>
    <row r="51">
      <c r="A51" s="8" t="n"/>
      <c r="B51" s="9" t="n"/>
      <c r="C51" s="10" t="n"/>
      <c r="D51" s="10" t="n"/>
      <c r="E51" s="10">
        <f>N(C51)-N(D51)</f>
        <v/>
      </c>
      <c r="F51" s="9">
        <f>IF(E51=0,"",TEXT(ABS(E51),"0.00")&amp;"|"&amp;IF(E51&gt;0,"AR","AP"))</f>
        <v/>
      </c>
      <c r="G51" s="9">
        <f>IF(F51="","",COUNTIF(Ledger!$H:$H,F51))</f>
        <v/>
      </c>
      <c r="H51" s="9">
        <f>IF(F51="","",IF(COUNTIF($F:$F,F51)&gt;1,"REVIEW - same amount appears twice",IF(G51=0,"UNMATCHED - no ledger entry",IF(G51&gt;1,"REVIEW - matches several ledger entries","Matched"))))</f>
        <v/>
      </c>
    </row>
    <row r="52">
      <c r="A52" s="8" t="n"/>
      <c r="B52" s="9" t="n"/>
      <c r="C52" s="10" t="n"/>
      <c r="D52" s="10" t="n"/>
      <c r="E52" s="10">
        <f>N(C52)-N(D52)</f>
        <v/>
      </c>
      <c r="F52" s="9">
        <f>IF(E52=0,"",TEXT(ABS(E52),"0.00")&amp;"|"&amp;IF(E52&gt;0,"AR","AP"))</f>
        <v/>
      </c>
      <c r="G52" s="9">
        <f>IF(F52="","",COUNTIF(Ledger!$H:$H,F52))</f>
        <v/>
      </c>
      <c r="H52" s="9">
        <f>IF(F52="","",IF(COUNTIF($F:$F,F52)&gt;1,"REVIEW - same amount appears twice",IF(G52=0,"UNMATCHED - no ledger entry",IF(G52&gt;1,"REVIEW - matches several ledger entries","Matched"))))</f>
        <v/>
      </c>
    </row>
    <row r="53">
      <c r="A53" s="8" t="n"/>
      <c r="B53" s="9" t="n"/>
      <c r="C53" s="10" t="n"/>
      <c r="D53" s="10" t="n"/>
      <c r="E53" s="10">
        <f>N(C53)-N(D53)</f>
        <v/>
      </c>
      <c r="F53" s="9">
        <f>IF(E53=0,"",TEXT(ABS(E53),"0.00")&amp;"|"&amp;IF(E53&gt;0,"AR","AP"))</f>
        <v/>
      </c>
      <c r="G53" s="9">
        <f>IF(F53="","",COUNTIF(Ledger!$H:$H,F53))</f>
        <v/>
      </c>
      <c r="H53" s="9">
        <f>IF(F53="","",IF(COUNTIF($F:$F,F53)&gt;1,"REVIEW - same amount appears twice",IF(G53=0,"UNMATCHED - no ledger entry",IF(G53&gt;1,"REVIEW - matches several ledger entries","Matched"))))</f>
        <v/>
      </c>
    </row>
    <row r="54">
      <c r="A54" s="8" t="n"/>
      <c r="B54" s="9" t="n"/>
      <c r="C54" s="10" t="n"/>
      <c r="D54" s="10" t="n"/>
      <c r="E54" s="10">
        <f>N(C54)-N(D54)</f>
        <v/>
      </c>
      <c r="F54" s="9">
        <f>IF(E54=0,"",TEXT(ABS(E54),"0.00")&amp;"|"&amp;IF(E54&gt;0,"AR","AP"))</f>
        <v/>
      </c>
      <c r="G54" s="9">
        <f>IF(F54="","",COUNTIF(Ledger!$H:$H,F54))</f>
        <v/>
      </c>
      <c r="H54" s="9">
        <f>IF(F54="","",IF(COUNTIF($F:$F,F54)&gt;1,"REVIEW - same amount appears twice",IF(G54=0,"UNMATCHED - no ledger entry",IF(G54&gt;1,"REVIEW - matches several ledger entries","Matched"))))</f>
        <v/>
      </c>
    </row>
    <row r="55">
      <c r="A55" s="8" t="n"/>
      <c r="B55" s="9" t="n"/>
      <c r="C55" s="10" t="n"/>
      <c r="D55" s="10" t="n"/>
      <c r="E55" s="10">
        <f>N(C55)-N(D55)</f>
        <v/>
      </c>
      <c r="F55" s="9">
        <f>IF(E55=0,"",TEXT(ABS(E55),"0.00")&amp;"|"&amp;IF(E55&gt;0,"AR","AP"))</f>
        <v/>
      </c>
      <c r="G55" s="9">
        <f>IF(F55="","",COUNTIF(Ledger!$H:$H,F55))</f>
        <v/>
      </c>
      <c r="H55" s="9">
        <f>IF(F55="","",IF(COUNTIF($F:$F,F55)&gt;1,"REVIEW - same amount appears twice",IF(G55=0,"UNMATCHED - no ledger entry",IF(G55&gt;1,"REVIEW - matches several ledger entries","Matched"))))</f>
        <v/>
      </c>
    </row>
    <row r="56">
      <c r="A56" s="8" t="n"/>
      <c r="B56" s="9" t="n"/>
      <c r="C56" s="10" t="n"/>
      <c r="D56" s="10" t="n"/>
      <c r="E56" s="10">
        <f>N(C56)-N(D56)</f>
        <v/>
      </c>
      <c r="F56" s="9">
        <f>IF(E56=0,"",TEXT(ABS(E56),"0.00")&amp;"|"&amp;IF(E56&gt;0,"AR","AP"))</f>
        <v/>
      </c>
      <c r="G56" s="9">
        <f>IF(F56="","",COUNTIF(Ledger!$H:$H,F56))</f>
        <v/>
      </c>
      <c r="H56" s="9">
        <f>IF(F56="","",IF(COUNTIF($F:$F,F56)&gt;1,"REVIEW - same amount appears twice",IF(G56=0,"UNMATCHED - no ledger entry",IF(G56&gt;1,"REVIEW - matches several ledger entries","Matched"))))</f>
        <v/>
      </c>
    </row>
    <row r="57">
      <c r="A57" s="8" t="n"/>
      <c r="B57" s="9" t="n"/>
      <c r="C57" s="10" t="n"/>
      <c r="D57" s="10" t="n"/>
      <c r="E57" s="10">
        <f>N(C57)-N(D57)</f>
        <v/>
      </c>
      <c r="F57" s="9">
        <f>IF(E57=0,"",TEXT(ABS(E57),"0.00")&amp;"|"&amp;IF(E57&gt;0,"AR","AP"))</f>
        <v/>
      </c>
      <c r="G57" s="9">
        <f>IF(F57="","",COUNTIF(Ledger!$H:$H,F57))</f>
        <v/>
      </c>
      <c r="H57" s="9">
        <f>IF(F57="","",IF(COUNTIF($F:$F,F57)&gt;1,"REVIEW - same amount appears twice",IF(G57=0,"UNMATCHED - no ledger entry",IF(G57&gt;1,"REVIEW - matches several ledger entries","Matched"))))</f>
        <v/>
      </c>
    </row>
    <row r="58">
      <c r="A58" s="8" t="n"/>
      <c r="B58" s="9" t="n"/>
      <c r="C58" s="10" t="n"/>
      <c r="D58" s="10" t="n"/>
      <c r="E58" s="10">
        <f>N(C58)-N(D58)</f>
        <v/>
      </c>
      <c r="F58" s="9">
        <f>IF(E58=0,"",TEXT(ABS(E58),"0.00")&amp;"|"&amp;IF(E58&gt;0,"AR","AP"))</f>
        <v/>
      </c>
      <c r="G58" s="9">
        <f>IF(F58="","",COUNTIF(Ledger!$H:$H,F58))</f>
        <v/>
      </c>
      <c r="H58" s="9">
        <f>IF(F58="","",IF(COUNTIF($F:$F,F58)&gt;1,"REVIEW - same amount appears twice",IF(G58=0,"UNMATCHED - no ledger entry",IF(G58&gt;1,"REVIEW - matches several ledger entries","Matched"))))</f>
        <v/>
      </c>
    </row>
    <row r="59">
      <c r="A59" s="8" t="n"/>
      <c r="B59" s="9" t="n"/>
      <c r="C59" s="10" t="n"/>
      <c r="D59" s="10" t="n"/>
      <c r="E59" s="10">
        <f>N(C59)-N(D59)</f>
        <v/>
      </c>
      <c r="F59" s="9">
        <f>IF(E59=0,"",TEXT(ABS(E59),"0.00")&amp;"|"&amp;IF(E59&gt;0,"AR","AP"))</f>
        <v/>
      </c>
      <c r="G59" s="9">
        <f>IF(F59="","",COUNTIF(Ledger!$H:$H,F59))</f>
        <v/>
      </c>
      <c r="H59" s="9">
        <f>IF(F59="","",IF(COUNTIF($F:$F,F59)&gt;1,"REVIEW - same amount appears twice",IF(G59=0,"UNMATCHED - no ledger entry",IF(G59&gt;1,"REVIEW - matches several ledger entries","Matched"))))</f>
        <v/>
      </c>
    </row>
    <row r="60">
      <c r="A60" s="8" t="n"/>
      <c r="B60" s="9" t="n"/>
      <c r="C60" s="10" t="n"/>
      <c r="D60" s="10" t="n"/>
      <c r="E60" s="10">
        <f>N(C60)-N(D60)</f>
        <v/>
      </c>
      <c r="F60" s="9">
        <f>IF(E60=0,"",TEXT(ABS(E60),"0.00")&amp;"|"&amp;IF(E60&gt;0,"AR","AP"))</f>
        <v/>
      </c>
      <c r="G60" s="9">
        <f>IF(F60="","",COUNTIF(Ledger!$H:$H,F60))</f>
        <v/>
      </c>
      <c r="H60" s="9">
        <f>IF(F60="","",IF(COUNTIF($F:$F,F60)&gt;1,"REVIEW - same amount appears twice",IF(G60=0,"UNMATCHED - no ledger entry",IF(G60&gt;1,"REVIEW - matches several ledger entries","Matched"))))</f>
        <v/>
      </c>
    </row>
    <row r="61">
      <c r="A61" s="8" t="n"/>
      <c r="B61" s="9" t="n"/>
      <c r="C61" s="10" t="n"/>
      <c r="D61" s="10" t="n"/>
      <c r="E61" s="10">
        <f>N(C61)-N(D61)</f>
        <v/>
      </c>
      <c r="F61" s="9">
        <f>IF(E61=0,"",TEXT(ABS(E61),"0.00")&amp;"|"&amp;IF(E61&gt;0,"AR","AP"))</f>
        <v/>
      </c>
      <c r="G61" s="9">
        <f>IF(F61="","",COUNTIF(Ledger!$H:$H,F61))</f>
        <v/>
      </c>
      <c r="H61" s="9">
        <f>IF(F61="","",IF(COUNTIF($F:$F,F61)&gt;1,"REVIEW - same amount appears twice",IF(G61=0,"UNMATCHED - no ledger entry",IF(G61&gt;1,"REVIEW - matches several ledger entries","Matched"))))</f>
        <v/>
      </c>
    </row>
    <row r="62">
      <c r="A62" s="8" t="n"/>
      <c r="B62" s="9" t="n"/>
      <c r="C62" s="10" t="n"/>
      <c r="D62" s="10" t="n"/>
      <c r="E62" s="10">
        <f>N(C62)-N(D62)</f>
        <v/>
      </c>
      <c r="F62" s="9">
        <f>IF(E62=0,"",TEXT(ABS(E62),"0.00")&amp;"|"&amp;IF(E62&gt;0,"AR","AP"))</f>
        <v/>
      </c>
      <c r="G62" s="9">
        <f>IF(F62="","",COUNTIF(Ledger!$H:$H,F62))</f>
        <v/>
      </c>
      <c r="H62" s="9">
        <f>IF(F62="","",IF(COUNTIF($F:$F,F62)&gt;1,"REVIEW - same amount appears twice",IF(G62=0,"UNMATCHED - no ledger entry",IF(G62&gt;1,"REVIEW - matches several ledger entries","Matched"))))</f>
        <v/>
      </c>
    </row>
    <row r="63">
      <c r="A63" s="8" t="n"/>
      <c r="B63" s="9" t="n"/>
      <c r="C63" s="10" t="n"/>
      <c r="D63" s="10" t="n"/>
      <c r="E63" s="10">
        <f>N(C63)-N(D63)</f>
        <v/>
      </c>
      <c r="F63" s="9">
        <f>IF(E63=0,"",TEXT(ABS(E63),"0.00")&amp;"|"&amp;IF(E63&gt;0,"AR","AP"))</f>
        <v/>
      </c>
      <c r="G63" s="9">
        <f>IF(F63="","",COUNTIF(Ledger!$H:$H,F63))</f>
        <v/>
      </c>
      <c r="H63" s="9">
        <f>IF(F63="","",IF(COUNTIF($F:$F,F63)&gt;1,"REVIEW - same amount appears twice",IF(G63=0,"UNMATCHED - no ledger entry",IF(G63&gt;1,"REVIEW - matches several ledger entries","Matched"))))</f>
        <v/>
      </c>
    </row>
    <row r="64">
      <c r="A64" s="8" t="n"/>
      <c r="B64" s="9" t="n"/>
      <c r="C64" s="10" t="n"/>
      <c r="D64" s="10" t="n"/>
      <c r="E64" s="10">
        <f>N(C64)-N(D64)</f>
        <v/>
      </c>
      <c r="F64" s="9">
        <f>IF(E64=0,"",TEXT(ABS(E64),"0.00")&amp;"|"&amp;IF(E64&gt;0,"AR","AP"))</f>
        <v/>
      </c>
      <c r="G64" s="9">
        <f>IF(F64="","",COUNTIF(Ledger!$H:$H,F64))</f>
        <v/>
      </c>
      <c r="H64" s="9">
        <f>IF(F64="","",IF(COUNTIF($F:$F,F64)&gt;1,"REVIEW - same amount appears twice",IF(G64=0,"UNMATCHED - no ledger entry",IF(G64&gt;1,"REVIEW - matches several ledger entries","Matched"))))</f>
        <v/>
      </c>
    </row>
    <row r="65">
      <c r="A65" s="8" t="n"/>
      <c r="B65" s="9" t="n"/>
      <c r="C65" s="10" t="n"/>
      <c r="D65" s="10" t="n"/>
      <c r="E65" s="10">
        <f>N(C65)-N(D65)</f>
        <v/>
      </c>
      <c r="F65" s="9">
        <f>IF(E65=0,"",TEXT(ABS(E65),"0.00")&amp;"|"&amp;IF(E65&gt;0,"AR","AP"))</f>
        <v/>
      </c>
      <c r="G65" s="9">
        <f>IF(F65="","",COUNTIF(Ledger!$H:$H,F65))</f>
        <v/>
      </c>
      <c r="H65" s="9">
        <f>IF(F65="","",IF(COUNTIF($F:$F,F65)&gt;1,"REVIEW - same amount appears twice",IF(G65=0,"UNMATCHED - no ledger entry",IF(G65&gt;1,"REVIEW - matches several ledger entries","Matched"))))</f>
        <v/>
      </c>
    </row>
    <row r="66">
      <c r="A66" s="8" t="n"/>
      <c r="B66" s="9" t="n"/>
      <c r="C66" s="10" t="n"/>
      <c r="D66" s="10" t="n"/>
      <c r="E66" s="10">
        <f>N(C66)-N(D66)</f>
        <v/>
      </c>
      <c r="F66" s="9">
        <f>IF(E66=0,"",TEXT(ABS(E66),"0.00")&amp;"|"&amp;IF(E66&gt;0,"AR","AP"))</f>
        <v/>
      </c>
      <c r="G66" s="9">
        <f>IF(F66="","",COUNTIF(Ledger!$H:$H,F66))</f>
        <v/>
      </c>
      <c r="H66" s="9">
        <f>IF(F66="","",IF(COUNTIF($F:$F,F66)&gt;1,"REVIEW - same amount appears twice",IF(G66=0,"UNMATCHED - no ledger entry",IF(G66&gt;1,"REVIEW - matches several ledger entries","Matched"))))</f>
        <v/>
      </c>
    </row>
    <row r="67">
      <c r="A67" s="8" t="n"/>
      <c r="B67" s="9" t="n"/>
      <c r="C67" s="10" t="n"/>
      <c r="D67" s="10" t="n"/>
      <c r="E67" s="10">
        <f>N(C67)-N(D67)</f>
        <v/>
      </c>
      <c r="F67" s="9">
        <f>IF(E67=0,"",TEXT(ABS(E67),"0.00")&amp;"|"&amp;IF(E67&gt;0,"AR","AP"))</f>
        <v/>
      </c>
      <c r="G67" s="9">
        <f>IF(F67="","",COUNTIF(Ledger!$H:$H,F67))</f>
        <v/>
      </c>
      <c r="H67" s="9">
        <f>IF(F67="","",IF(COUNTIF($F:$F,F67)&gt;1,"REVIEW - same amount appears twice",IF(G67=0,"UNMATCHED - no ledger entry",IF(G67&gt;1,"REVIEW - matches several ledger entries","Matched"))))</f>
        <v/>
      </c>
    </row>
    <row r="68">
      <c r="A68" s="8" t="n"/>
      <c r="B68" s="9" t="n"/>
      <c r="C68" s="10" t="n"/>
      <c r="D68" s="10" t="n"/>
      <c r="E68" s="10">
        <f>N(C68)-N(D68)</f>
        <v/>
      </c>
      <c r="F68" s="9">
        <f>IF(E68=0,"",TEXT(ABS(E68),"0.00")&amp;"|"&amp;IF(E68&gt;0,"AR","AP"))</f>
        <v/>
      </c>
      <c r="G68" s="9">
        <f>IF(F68="","",COUNTIF(Ledger!$H:$H,F68))</f>
        <v/>
      </c>
      <c r="H68" s="9">
        <f>IF(F68="","",IF(COUNTIF($F:$F,F68)&gt;1,"REVIEW - same amount appears twice",IF(G68=0,"UNMATCHED - no ledger entry",IF(G68&gt;1,"REVIEW - matches several ledger entries","Matched"))))</f>
        <v/>
      </c>
    </row>
    <row r="69">
      <c r="A69" s="8" t="n"/>
      <c r="B69" s="9" t="n"/>
      <c r="C69" s="10" t="n"/>
      <c r="D69" s="10" t="n"/>
      <c r="E69" s="10">
        <f>N(C69)-N(D69)</f>
        <v/>
      </c>
      <c r="F69" s="9">
        <f>IF(E69=0,"",TEXT(ABS(E69),"0.00")&amp;"|"&amp;IF(E69&gt;0,"AR","AP"))</f>
        <v/>
      </c>
      <c r="G69" s="9">
        <f>IF(F69="","",COUNTIF(Ledger!$H:$H,F69))</f>
        <v/>
      </c>
      <c r="H69" s="9">
        <f>IF(F69="","",IF(COUNTIF($F:$F,F69)&gt;1,"REVIEW - same amount appears twice",IF(G69=0,"UNMATCHED - no ledger entry",IF(G69&gt;1,"REVIEW - matches several ledger entries","Matched"))))</f>
        <v/>
      </c>
    </row>
    <row r="70">
      <c r="A70" s="8" t="n"/>
      <c r="B70" s="9" t="n"/>
      <c r="C70" s="10" t="n"/>
      <c r="D70" s="10" t="n"/>
      <c r="E70" s="10">
        <f>N(C70)-N(D70)</f>
        <v/>
      </c>
      <c r="F70" s="9">
        <f>IF(E70=0,"",TEXT(ABS(E70),"0.00")&amp;"|"&amp;IF(E70&gt;0,"AR","AP"))</f>
        <v/>
      </c>
      <c r="G70" s="9">
        <f>IF(F70="","",COUNTIF(Ledger!$H:$H,F70))</f>
        <v/>
      </c>
      <c r="H70" s="9">
        <f>IF(F70="","",IF(COUNTIF($F:$F,F70)&gt;1,"REVIEW - same amount appears twice",IF(G70=0,"UNMATCHED - no ledger entry",IF(G70&gt;1,"REVIEW - matches several ledger entries","Matched"))))</f>
        <v/>
      </c>
    </row>
    <row r="71">
      <c r="A71" s="8" t="n"/>
      <c r="B71" s="9" t="n"/>
      <c r="C71" s="10" t="n"/>
      <c r="D71" s="10" t="n"/>
      <c r="E71" s="10">
        <f>N(C71)-N(D71)</f>
        <v/>
      </c>
      <c r="F71" s="9">
        <f>IF(E71=0,"",TEXT(ABS(E71),"0.00")&amp;"|"&amp;IF(E71&gt;0,"AR","AP"))</f>
        <v/>
      </c>
      <c r="G71" s="9">
        <f>IF(F71="","",COUNTIF(Ledger!$H:$H,F71))</f>
        <v/>
      </c>
      <c r="H71" s="9">
        <f>IF(F71="","",IF(COUNTIF($F:$F,F71)&gt;1,"REVIEW - same amount appears twice",IF(G71=0,"UNMATCHED - no ledger entry",IF(G71&gt;1,"REVIEW - matches several ledger entries","Matched"))))</f>
        <v/>
      </c>
    </row>
    <row r="72">
      <c r="A72" s="8" t="n"/>
      <c r="B72" s="9" t="n"/>
      <c r="C72" s="10" t="n"/>
      <c r="D72" s="10" t="n"/>
      <c r="E72" s="10">
        <f>N(C72)-N(D72)</f>
        <v/>
      </c>
      <c r="F72" s="9">
        <f>IF(E72=0,"",TEXT(ABS(E72),"0.00")&amp;"|"&amp;IF(E72&gt;0,"AR","AP"))</f>
        <v/>
      </c>
      <c r="G72" s="9">
        <f>IF(F72="","",COUNTIF(Ledger!$H:$H,F72))</f>
        <v/>
      </c>
      <c r="H72" s="9">
        <f>IF(F72="","",IF(COUNTIF($F:$F,F72)&gt;1,"REVIEW - same amount appears twice",IF(G72=0,"UNMATCHED - no ledger entry",IF(G72&gt;1,"REVIEW - matches several ledger entries","Matched"))))</f>
        <v/>
      </c>
    </row>
    <row r="73">
      <c r="A73" s="8" t="n"/>
      <c r="B73" s="9" t="n"/>
      <c r="C73" s="10" t="n"/>
      <c r="D73" s="10" t="n"/>
      <c r="E73" s="10">
        <f>N(C73)-N(D73)</f>
        <v/>
      </c>
      <c r="F73" s="9">
        <f>IF(E73=0,"",TEXT(ABS(E73),"0.00")&amp;"|"&amp;IF(E73&gt;0,"AR","AP"))</f>
        <v/>
      </c>
      <c r="G73" s="9">
        <f>IF(F73="","",COUNTIF(Ledger!$H:$H,F73))</f>
        <v/>
      </c>
      <c r="H73" s="9">
        <f>IF(F73="","",IF(COUNTIF($F:$F,F73)&gt;1,"REVIEW - same amount appears twice",IF(G73=0,"UNMATCHED - no ledger entry",IF(G73&gt;1,"REVIEW - matches several ledger entries","Matched"))))</f>
        <v/>
      </c>
    </row>
    <row r="74">
      <c r="A74" s="8" t="n"/>
      <c r="B74" s="9" t="n"/>
      <c r="C74" s="10" t="n"/>
      <c r="D74" s="10" t="n"/>
      <c r="E74" s="10">
        <f>N(C74)-N(D74)</f>
        <v/>
      </c>
      <c r="F74" s="9">
        <f>IF(E74=0,"",TEXT(ABS(E74),"0.00")&amp;"|"&amp;IF(E74&gt;0,"AR","AP"))</f>
        <v/>
      </c>
      <c r="G74" s="9">
        <f>IF(F74="","",COUNTIF(Ledger!$H:$H,F74))</f>
        <v/>
      </c>
      <c r="H74" s="9">
        <f>IF(F74="","",IF(COUNTIF($F:$F,F74)&gt;1,"REVIEW - same amount appears twice",IF(G74=0,"UNMATCHED - no ledger entry",IF(G74&gt;1,"REVIEW - matches several ledger entries","Matched"))))</f>
        <v/>
      </c>
    </row>
    <row r="75">
      <c r="A75" s="8" t="n"/>
      <c r="B75" s="9" t="n"/>
      <c r="C75" s="10" t="n"/>
      <c r="D75" s="10" t="n"/>
      <c r="E75" s="10">
        <f>N(C75)-N(D75)</f>
        <v/>
      </c>
      <c r="F75" s="9">
        <f>IF(E75=0,"",TEXT(ABS(E75),"0.00")&amp;"|"&amp;IF(E75&gt;0,"AR","AP"))</f>
        <v/>
      </c>
      <c r="G75" s="9">
        <f>IF(F75="","",COUNTIF(Ledger!$H:$H,F75))</f>
        <v/>
      </c>
      <c r="H75" s="9">
        <f>IF(F75="","",IF(COUNTIF($F:$F,F75)&gt;1,"REVIEW - same amount appears twice",IF(G75=0,"UNMATCHED - no ledger entry",IF(G75&gt;1,"REVIEW - matches several ledger entries","Matched"))))</f>
        <v/>
      </c>
    </row>
    <row r="76">
      <c r="A76" s="8" t="n"/>
      <c r="B76" s="9" t="n"/>
      <c r="C76" s="10" t="n"/>
      <c r="D76" s="10" t="n"/>
      <c r="E76" s="10">
        <f>N(C76)-N(D76)</f>
        <v/>
      </c>
      <c r="F76" s="9">
        <f>IF(E76=0,"",TEXT(ABS(E76),"0.00")&amp;"|"&amp;IF(E76&gt;0,"AR","AP"))</f>
        <v/>
      </c>
      <c r="G76" s="9">
        <f>IF(F76="","",COUNTIF(Ledger!$H:$H,F76))</f>
        <v/>
      </c>
      <c r="H76" s="9">
        <f>IF(F76="","",IF(COUNTIF($F:$F,F76)&gt;1,"REVIEW - same amount appears twice",IF(G76=0,"UNMATCHED - no ledger entry",IF(G76&gt;1,"REVIEW - matches several ledger entries","Matched"))))</f>
        <v/>
      </c>
    </row>
    <row r="77">
      <c r="A77" s="8" t="n"/>
      <c r="B77" s="9" t="n"/>
      <c r="C77" s="10" t="n"/>
      <c r="D77" s="10" t="n"/>
      <c r="E77" s="10">
        <f>N(C77)-N(D77)</f>
        <v/>
      </c>
      <c r="F77" s="9">
        <f>IF(E77=0,"",TEXT(ABS(E77),"0.00")&amp;"|"&amp;IF(E77&gt;0,"AR","AP"))</f>
        <v/>
      </c>
      <c r="G77" s="9">
        <f>IF(F77="","",COUNTIF(Ledger!$H:$H,F77))</f>
        <v/>
      </c>
      <c r="H77" s="9">
        <f>IF(F77="","",IF(COUNTIF($F:$F,F77)&gt;1,"REVIEW - same amount appears twice",IF(G77=0,"UNMATCHED - no ledger entry",IF(G77&gt;1,"REVIEW - matches several ledger entries","Matched"))))</f>
        <v/>
      </c>
    </row>
    <row r="78">
      <c r="A78" s="8" t="n"/>
      <c r="B78" s="9" t="n"/>
      <c r="C78" s="10" t="n"/>
      <c r="D78" s="10" t="n"/>
      <c r="E78" s="10">
        <f>N(C78)-N(D78)</f>
        <v/>
      </c>
      <c r="F78" s="9">
        <f>IF(E78=0,"",TEXT(ABS(E78),"0.00")&amp;"|"&amp;IF(E78&gt;0,"AR","AP"))</f>
        <v/>
      </c>
      <c r="G78" s="9">
        <f>IF(F78="","",COUNTIF(Ledger!$H:$H,F78))</f>
        <v/>
      </c>
      <c r="H78" s="9">
        <f>IF(F78="","",IF(COUNTIF($F:$F,F78)&gt;1,"REVIEW - same amount appears twice",IF(G78=0,"UNMATCHED - no ledger entry",IF(G78&gt;1,"REVIEW - matches several ledger entries","Matched"))))</f>
        <v/>
      </c>
    </row>
    <row r="79">
      <c r="A79" s="8" t="n"/>
      <c r="B79" s="9" t="n"/>
      <c r="C79" s="10" t="n"/>
      <c r="D79" s="10" t="n"/>
      <c r="E79" s="10">
        <f>N(C79)-N(D79)</f>
        <v/>
      </c>
      <c r="F79" s="9">
        <f>IF(E79=0,"",TEXT(ABS(E79),"0.00")&amp;"|"&amp;IF(E79&gt;0,"AR","AP"))</f>
        <v/>
      </c>
      <c r="G79" s="9">
        <f>IF(F79="","",COUNTIF(Ledger!$H:$H,F79))</f>
        <v/>
      </c>
      <c r="H79" s="9">
        <f>IF(F79="","",IF(COUNTIF($F:$F,F79)&gt;1,"REVIEW - same amount appears twice",IF(G79=0,"UNMATCHED - no ledger entry",IF(G79&gt;1,"REVIEW - matches several ledger entries","Matched"))))</f>
        <v/>
      </c>
    </row>
    <row r="80">
      <c r="A80" s="8" t="n"/>
      <c r="B80" s="9" t="n"/>
      <c r="C80" s="10" t="n"/>
      <c r="D80" s="10" t="n"/>
      <c r="E80" s="10">
        <f>N(C80)-N(D80)</f>
        <v/>
      </c>
      <c r="F80" s="9">
        <f>IF(E80=0,"",TEXT(ABS(E80),"0.00")&amp;"|"&amp;IF(E80&gt;0,"AR","AP"))</f>
        <v/>
      </c>
      <c r="G80" s="9">
        <f>IF(F80="","",COUNTIF(Ledger!$H:$H,F80))</f>
        <v/>
      </c>
      <c r="H80" s="9">
        <f>IF(F80="","",IF(COUNTIF($F:$F,F80)&gt;1,"REVIEW - same amount appears twice",IF(G80=0,"UNMATCHED - no ledger entry",IF(G80&gt;1,"REVIEW - matches several ledger entries","Matched"))))</f>
        <v/>
      </c>
    </row>
    <row r="81">
      <c r="A81" s="8" t="n"/>
      <c r="B81" s="9" t="n"/>
      <c r="C81" s="10" t="n"/>
      <c r="D81" s="10" t="n"/>
      <c r="E81" s="10">
        <f>N(C81)-N(D81)</f>
        <v/>
      </c>
      <c r="F81" s="9">
        <f>IF(E81=0,"",TEXT(ABS(E81),"0.00")&amp;"|"&amp;IF(E81&gt;0,"AR","AP"))</f>
        <v/>
      </c>
      <c r="G81" s="9">
        <f>IF(F81="","",COUNTIF(Ledger!$H:$H,F81))</f>
        <v/>
      </c>
      <c r="H81" s="9">
        <f>IF(F81="","",IF(COUNTIF($F:$F,F81)&gt;1,"REVIEW - same amount appears twice",IF(G81=0,"UNMATCHED - no ledger entry",IF(G81&gt;1,"REVIEW - matches several ledger entries","Matched"))))</f>
        <v/>
      </c>
    </row>
    <row r="82">
      <c r="A82" s="8" t="n"/>
      <c r="B82" s="9" t="n"/>
      <c r="C82" s="10" t="n"/>
      <c r="D82" s="10" t="n"/>
      <c r="E82" s="10">
        <f>N(C82)-N(D82)</f>
        <v/>
      </c>
      <c r="F82" s="9">
        <f>IF(E82=0,"",TEXT(ABS(E82),"0.00")&amp;"|"&amp;IF(E82&gt;0,"AR","AP"))</f>
        <v/>
      </c>
      <c r="G82" s="9">
        <f>IF(F82="","",COUNTIF(Ledger!$H:$H,F82))</f>
        <v/>
      </c>
      <c r="H82" s="9">
        <f>IF(F82="","",IF(COUNTIF($F:$F,F82)&gt;1,"REVIEW - same amount appears twice",IF(G82=0,"UNMATCHED - no ledger entry",IF(G82&gt;1,"REVIEW - matches several ledger entries","Matched"))))</f>
        <v/>
      </c>
    </row>
    <row r="83">
      <c r="A83" s="8" t="n"/>
      <c r="B83" s="9" t="n"/>
      <c r="C83" s="10" t="n"/>
      <c r="D83" s="10" t="n"/>
      <c r="E83" s="10">
        <f>N(C83)-N(D83)</f>
        <v/>
      </c>
      <c r="F83" s="9">
        <f>IF(E83=0,"",TEXT(ABS(E83),"0.00")&amp;"|"&amp;IF(E83&gt;0,"AR","AP"))</f>
        <v/>
      </c>
      <c r="G83" s="9">
        <f>IF(F83="","",COUNTIF(Ledger!$H:$H,F83))</f>
        <v/>
      </c>
      <c r="H83" s="9">
        <f>IF(F83="","",IF(COUNTIF($F:$F,F83)&gt;1,"REVIEW - same amount appears twice",IF(G83=0,"UNMATCHED - no ledger entry",IF(G83&gt;1,"REVIEW - matches several ledger entries","Matched"))))</f>
        <v/>
      </c>
    </row>
    <row r="84">
      <c r="A84" s="8" t="n"/>
      <c r="B84" s="9" t="n"/>
      <c r="C84" s="10" t="n"/>
      <c r="D84" s="10" t="n"/>
      <c r="E84" s="10">
        <f>N(C84)-N(D84)</f>
        <v/>
      </c>
      <c r="F84" s="9">
        <f>IF(E84=0,"",TEXT(ABS(E84),"0.00")&amp;"|"&amp;IF(E84&gt;0,"AR","AP"))</f>
        <v/>
      </c>
      <c r="G84" s="9">
        <f>IF(F84="","",COUNTIF(Ledger!$H:$H,F84))</f>
        <v/>
      </c>
      <c r="H84" s="9">
        <f>IF(F84="","",IF(COUNTIF($F:$F,F84)&gt;1,"REVIEW - same amount appears twice",IF(G84=0,"UNMATCHED - no ledger entry",IF(G84&gt;1,"REVIEW - matches several ledger entries","Matched"))))</f>
        <v/>
      </c>
    </row>
    <row r="85">
      <c r="A85" s="8" t="n"/>
      <c r="B85" s="9" t="n"/>
      <c r="C85" s="10" t="n"/>
      <c r="D85" s="10" t="n"/>
      <c r="E85" s="10">
        <f>N(C85)-N(D85)</f>
        <v/>
      </c>
      <c r="F85" s="9">
        <f>IF(E85=0,"",TEXT(ABS(E85),"0.00")&amp;"|"&amp;IF(E85&gt;0,"AR","AP"))</f>
        <v/>
      </c>
      <c r="G85" s="9">
        <f>IF(F85="","",COUNTIF(Ledger!$H:$H,F85))</f>
        <v/>
      </c>
      <c r="H85" s="9">
        <f>IF(F85="","",IF(COUNTIF($F:$F,F85)&gt;1,"REVIEW - same amount appears twice",IF(G85=0,"UNMATCHED - no ledger entry",IF(G85&gt;1,"REVIEW - matches several ledger entries","Matched"))))</f>
        <v/>
      </c>
    </row>
    <row r="86">
      <c r="A86" s="8" t="n"/>
      <c r="B86" s="9" t="n"/>
      <c r="C86" s="10" t="n"/>
      <c r="D86" s="10" t="n"/>
      <c r="E86" s="10">
        <f>N(C86)-N(D86)</f>
        <v/>
      </c>
      <c r="F86" s="9">
        <f>IF(E86=0,"",TEXT(ABS(E86),"0.00")&amp;"|"&amp;IF(E86&gt;0,"AR","AP"))</f>
        <v/>
      </c>
      <c r="G86" s="9">
        <f>IF(F86="","",COUNTIF(Ledger!$H:$H,F86))</f>
        <v/>
      </c>
      <c r="H86" s="9">
        <f>IF(F86="","",IF(COUNTIF($F:$F,F86)&gt;1,"REVIEW - same amount appears twice",IF(G86=0,"UNMATCHED - no ledger entry",IF(G86&gt;1,"REVIEW - matches several ledger entries","Matched"))))</f>
        <v/>
      </c>
    </row>
    <row r="87">
      <c r="A87" s="8" t="n"/>
      <c r="B87" s="9" t="n"/>
      <c r="C87" s="10" t="n"/>
      <c r="D87" s="10" t="n"/>
      <c r="E87" s="10">
        <f>N(C87)-N(D87)</f>
        <v/>
      </c>
      <c r="F87" s="9">
        <f>IF(E87=0,"",TEXT(ABS(E87),"0.00")&amp;"|"&amp;IF(E87&gt;0,"AR","AP"))</f>
        <v/>
      </c>
      <c r="G87" s="9">
        <f>IF(F87="","",COUNTIF(Ledger!$H:$H,F87))</f>
        <v/>
      </c>
      <c r="H87" s="9">
        <f>IF(F87="","",IF(COUNTIF($F:$F,F87)&gt;1,"REVIEW - same amount appears twice",IF(G87=0,"UNMATCHED - no ledger entry",IF(G87&gt;1,"REVIEW - matches several ledger entries","Matched"))))</f>
        <v/>
      </c>
    </row>
    <row r="88">
      <c r="A88" s="8" t="n"/>
      <c r="B88" s="9" t="n"/>
      <c r="C88" s="10" t="n"/>
      <c r="D88" s="10" t="n"/>
      <c r="E88" s="10">
        <f>N(C88)-N(D88)</f>
        <v/>
      </c>
      <c r="F88" s="9">
        <f>IF(E88=0,"",TEXT(ABS(E88),"0.00")&amp;"|"&amp;IF(E88&gt;0,"AR","AP"))</f>
        <v/>
      </c>
      <c r="G88" s="9">
        <f>IF(F88="","",COUNTIF(Ledger!$H:$H,F88))</f>
        <v/>
      </c>
      <c r="H88" s="9">
        <f>IF(F88="","",IF(COUNTIF($F:$F,F88)&gt;1,"REVIEW - same amount appears twice",IF(G88=0,"UNMATCHED - no ledger entry",IF(G88&gt;1,"REVIEW - matches several ledger entries","Matched"))))</f>
        <v/>
      </c>
    </row>
    <row r="89">
      <c r="A89" s="8" t="n"/>
      <c r="B89" s="9" t="n"/>
      <c r="C89" s="10" t="n"/>
      <c r="D89" s="10" t="n"/>
      <c r="E89" s="10">
        <f>N(C89)-N(D89)</f>
        <v/>
      </c>
      <c r="F89" s="9">
        <f>IF(E89=0,"",TEXT(ABS(E89),"0.00")&amp;"|"&amp;IF(E89&gt;0,"AR","AP"))</f>
        <v/>
      </c>
      <c r="G89" s="9">
        <f>IF(F89="","",COUNTIF(Ledger!$H:$H,F89))</f>
        <v/>
      </c>
      <c r="H89" s="9">
        <f>IF(F89="","",IF(COUNTIF($F:$F,F89)&gt;1,"REVIEW - same amount appears twice",IF(G89=0,"UNMATCHED - no ledger entry",IF(G89&gt;1,"REVIEW - matches several ledger entries","Matched"))))</f>
        <v/>
      </c>
    </row>
    <row r="90">
      <c r="A90" s="8" t="n"/>
      <c r="B90" s="9" t="n"/>
      <c r="C90" s="10" t="n"/>
      <c r="D90" s="10" t="n"/>
      <c r="E90" s="10">
        <f>N(C90)-N(D90)</f>
        <v/>
      </c>
      <c r="F90" s="9">
        <f>IF(E90=0,"",TEXT(ABS(E90),"0.00")&amp;"|"&amp;IF(E90&gt;0,"AR","AP"))</f>
        <v/>
      </c>
      <c r="G90" s="9">
        <f>IF(F90="","",COUNTIF(Ledger!$H:$H,F90))</f>
        <v/>
      </c>
      <c r="H90" s="9">
        <f>IF(F90="","",IF(COUNTIF($F:$F,F90)&gt;1,"REVIEW - same amount appears twice",IF(G90=0,"UNMATCHED - no ledger entry",IF(G90&gt;1,"REVIEW - matches several ledger entries","Matched"))))</f>
        <v/>
      </c>
    </row>
    <row r="91">
      <c r="A91" s="8" t="n"/>
      <c r="B91" s="9" t="n"/>
      <c r="C91" s="10" t="n"/>
      <c r="D91" s="10" t="n"/>
      <c r="E91" s="10">
        <f>N(C91)-N(D91)</f>
        <v/>
      </c>
      <c r="F91" s="9">
        <f>IF(E91=0,"",TEXT(ABS(E91),"0.00")&amp;"|"&amp;IF(E91&gt;0,"AR","AP"))</f>
        <v/>
      </c>
      <c r="G91" s="9">
        <f>IF(F91="","",COUNTIF(Ledger!$H:$H,F91))</f>
        <v/>
      </c>
      <c r="H91" s="9">
        <f>IF(F91="","",IF(COUNTIF($F:$F,F91)&gt;1,"REVIEW - same amount appears twice",IF(G91=0,"UNMATCHED - no ledger entry",IF(G91&gt;1,"REVIEW - matches several ledger entries","Matched"))))</f>
        <v/>
      </c>
    </row>
    <row r="92">
      <c r="A92" s="8" t="n"/>
      <c r="B92" s="9" t="n"/>
      <c r="C92" s="10" t="n"/>
      <c r="D92" s="10" t="n"/>
      <c r="E92" s="10">
        <f>N(C92)-N(D92)</f>
        <v/>
      </c>
      <c r="F92" s="9">
        <f>IF(E92=0,"",TEXT(ABS(E92),"0.00")&amp;"|"&amp;IF(E92&gt;0,"AR","AP"))</f>
        <v/>
      </c>
      <c r="G92" s="9">
        <f>IF(F92="","",COUNTIF(Ledger!$H:$H,F92))</f>
        <v/>
      </c>
      <c r="H92" s="9">
        <f>IF(F92="","",IF(COUNTIF($F:$F,F92)&gt;1,"REVIEW - same amount appears twice",IF(G92=0,"UNMATCHED - no ledger entry",IF(G92&gt;1,"REVIEW - matches several ledger entries","Matched"))))</f>
        <v/>
      </c>
    </row>
    <row r="93">
      <c r="A93" s="8" t="n"/>
      <c r="B93" s="9" t="n"/>
      <c r="C93" s="10" t="n"/>
      <c r="D93" s="10" t="n"/>
      <c r="E93" s="10">
        <f>N(C93)-N(D93)</f>
        <v/>
      </c>
      <c r="F93" s="9">
        <f>IF(E93=0,"",TEXT(ABS(E93),"0.00")&amp;"|"&amp;IF(E93&gt;0,"AR","AP"))</f>
        <v/>
      </c>
      <c r="G93" s="9">
        <f>IF(F93="","",COUNTIF(Ledger!$H:$H,F93))</f>
        <v/>
      </c>
      <c r="H93" s="9">
        <f>IF(F93="","",IF(COUNTIF($F:$F,F93)&gt;1,"REVIEW - same amount appears twice",IF(G93=0,"UNMATCHED - no ledger entry",IF(G93&gt;1,"REVIEW - matches several ledger entries","Matched"))))</f>
        <v/>
      </c>
    </row>
    <row r="94">
      <c r="A94" s="8" t="n"/>
      <c r="B94" s="9" t="n"/>
      <c r="C94" s="10" t="n"/>
      <c r="D94" s="10" t="n"/>
      <c r="E94" s="10">
        <f>N(C94)-N(D94)</f>
        <v/>
      </c>
      <c r="F94" s="9">
        <f>IF(E94=0,"",TEXT(ABS(E94),"0.00")&amp;"|"&amp;IF(E94&gt;0,"AR","AP"))</f>
        <v/>
      </c>
      <c r="G94" s="9">
        <f>IF(F94="","",COUNTIF(Ledger!$H:$H,F94))</f>
        <v/>
      </c>
      <c r="H94" s="9">
        <f>IF(F94="","",IF(COUNTIF($F:$F,F94)&gt;1,"REVIEW - same amount appears twice",IF(G94=0,"UNMATCHED - no ledger entry",IF(G94&gt;1,"REVIEW - matches several ledger entries","Matched"))))</f>
        <v/>
      </c>
    </row>
    <row r="95">
      <c r="A95" s="8" t="n"/>
      <c r="B95" s="9" t="n"/>
      <c r="C95" s="10" t="n"/>
      <c r="D95" s="10" t="n"/>
      <c r="E95" s="10">
        <f>N(C95)-N(D95)</f>
        <v/>
      </c>
      <c r="F95" s="9">
        <f>IF(E95=0,"",TEXT(ABS(E95),"0.00")&amp;"|"&amp;IF(E95&gt;0,"AR","AP"))</f>
        <v/>
      </c>
      <c r="G95" s="9">
        <f>IF(F95="","",COUNTIF(Ledger!$H:$H,F95))</f>
        <v/>
      </c>
      <c r="H95" s="9">
        <f>IF(F95="","",IF(COUNTIF($F:$F,F95)&gt;1,"REVIEW - same amount appears twice",IF(G95=0,"UNMATCHED - no ledger entry",IF(G95&gt;1,"REVIEW - matches several ledger entries","Matched"))))</f>
        <v/>
      </c>
    </row>
    <row r="96">
      <c r="A96" s="8" t="n"/>
      <c r="B96" s="9" t="n"/>
      <c r="C96" s="10" t="n"/>
      <c r="D96" s="10" t="n"/>
      <c r="E96" s="10">
        <f>N(C96)-N(D96)</f>
        <v/>
      </c>
      <c r="F96" s="9">
        <f>IF(E96=0,"",TEXT(ABS(E96),"0.00")&amp;"|"&amp;IF(E96&gt;0,"AR","AP"))</f>
        <v/>
      </c>
      <c r="G96" s="9">
        <f>IF(F96="","",COUNTIF(Ledger!$H:$H,F96))</f>
        <v/>
      </c>
      <c r="H96" s="9">
        <f>IF(F96="","",IF(COUNTIF($F:$F,F96)&gt;1,"REVIEW - same amount appears twice",IF(G96=0,"UNMATCHED - no ledger entry",IF(G96&gt;1,"REVIEW - matches several ledger entries","Matched"))))</f>
        <v/>
      </c>
    </row>
    <row r="97">
      <c r="A97" s="8" t="n"/>
      <c r="B97" s="9" t="n"/>
      <c r="C97" s="10" t="n"/>
      <c r="D97" s="10" t="n"/>
      <c r="E97" s="10">
        <f>N(C97)-N(D97)</f>
        <v/>
      </c>
      <c r="F97" s="9">
        <f>IF(E97=0,"",TEXT(ABS(E97),"0.00")&amp;"|"&amp;IF(E97&gt;0,"AR","AP"))</f>
        <v/>
      </c>
      <c r="G97" s="9">
        <f>IF(F97="","",COUNTIF(Ledger!$H:$H,F97))</f>
        <v/>
      </c>
      <c r="H97" s="9">
        <f>IF(F97="","",IF(COUNTIF($F:$F,F97)&gt;1,"REVIEW - same amount appears twice",IF(G97=0,"UNMATCHED - no ledger entry",IF(G97&gt;1,"REVIEW - matches several ledger entries","Matched"))))</f>
        <v/>
      </c>
    </row>
    <row r="98">
      <c r="A98" s="8" t="n"/>
      <c r="B98" s="9" t="n"/>
      <c r="C98" s="10" t="n"/>
      <c r="D98" s="10" t="n"/>
      <c r="E98" s="10">
        <f>N(C98)-N(D98)</f>
        <v/>
      </c>
      <c r="F98" s="9">
        <f>IF(E98=0,"",TEXT(ABS(E98),"0.00")&amp;"|"&amp;IF(E98&gt;0,"AR","AP"))</f>
        <v/>
      </c>
      <c r="G98" s="9">
        <f>IF(F98="","",COUNTIF(Ledger!$H:$H,F98))</f>
        <v/>
      </c>
      <c r="H98" s="9">
        <f>IF(F98="","",IF(COUNTIF($F:$F,F98)&gt;1,"REVIEW - same amount appears twice",IF(G98=0,"UNMATCHED - no ledger entry",IF(G98&gt;1,"REVIEW - matches several ledger entries","Matched"))))</f>
        <v/>
      </c>
    </row>
    <row r="99">
      <c r="A99" s="8" t="n"/>
      <c r="B99" s="9" t="n"/>
      <c r="C99" s="10" t="n"/>
      <c r="D99" s="10" t="n"/>
      <c r="E99" s="10">
        <f>N(C99)-N(D99)</f>
        <v/>
      </c>
      <c r="F99" s="9">
        <f>IF(E99=0,"",TEXT(ABS(E99),"0.00")&amp;"|"&amp;IF(E99&gt;0,"AR","AP"))</f>
        <v/>
      </c>
      <c r="G99" s="9">
        <f>IF(F99="","",COUNTIF(Ledger!$H:$H,F99))</f>
        <v/>
      </c>
      <c r="H99" s="9">
        <f>IF(F99="","",IF(COUNTIF($F:$F,F99)&gt;1,"REVIEW - same amount appears twice",IF(G99=0,"UNMATCHED - no ledger entry",IF(G99&gt;1,"REVIEW - matches several ledger entries","Matched"))))</f>
        <v/>
      </c>
    </row>
    <row r="100">
      <c r="A100" s="8" t="n"/>
      <c r="B100" s="9" t="n"/>
      <c r="C100" s="10" t="n"/>
      <c r="D100" s="10" t="n"/>
      <c r="E100" s="10">
        <f>N(C100)-N(D100)</f>
        <v/>
      </c>
      <c r="F100" s="9">
        <f>IF(E100=0,"",TEXT(ABS(E100),"0.00")&amp;"|"&amp;IF(E100&gt;0,"AR","AP"))</f>
        <v/>
      </c>
      <c r="G100" s="9">
        <f>IF(F100="","",COUNTIF(Ledger!$H:$H,F100))</f>
        <v/>
      </c>
      <c r="H100" s="9">
        <f>IF(F100="","",IF(COUNTIF($F:$F,F100)&gt;1,"REVIEW - same amount appears twice",IF(G100=0,"UNMATCHED - no ledger entry",IF(G100&gt;1,"REVIEW - matches several ledger entries","Matched"))))</f>
        <v/>
      </c>
    </row>
    <row r="101">
      <c r="A101" s="8" t="n"/>
      <c r="B101" s="9" t="n"/>
      <c r="C101" s="10" t="n"/>
      <c r="D101" s="10" t="n"/>
      <c r="E101" s="10">
        <f>N(C101)-N(D101)</f>
        <v/>
      </c>
      <c r="F101" s="9">
        <f>IF(E101=0,"",TEXT(ABS(E101),"0.00")&amp;"|"&amp;IF(E101&gt;0,"AR","AP"))</f>
        <v/>
      </c>
      <c r="G101" s="9">
        <f>IF(F101="","",COUNTIF(Ledger!$H:$H,F101))</f>
        <v/>
      </c>
      <c r="H101" s="9">
        <f>IF(F101="","",IF(COUNTIF($F:$F,F101)&gt;1,"REVIEW - same amount appears twice",IF(G101=0,"UNMATCHED - no ledger entry",IF(G101&gt;1,"REVIEW - matches several ledger entries","Matched"))))</f>
        <v/>
      </c>
    </row>
    <row r="102">
      <c r="A102" s="8" t="n"/>
      <c r="B102" s="9" t="n"/>
      <c r="C102" s="10" t="n"/>
      <c r="D102" s="10" t="n"/>
      <c r="E102" s="10">
        <f>N(C102)-N(D102)</f>
        <v/>
      </c>
      <c r="F102" s="9">
        <f>IF(E102=0,"",TEXT(ABS(E102),"0.00")&amp;"|"&amp;IF(E102&gt;0,"AR","AP"))</f>
        <v/>
      </c>
      <c r="G102" s="9">
        <f>IF(F102="","",COUNTIF(Ledger!$H:$H,F102))</f>
        <v/>
      </c>
      <c r="H102" s="9">
        <f>IF(F102="","",IF(COUNTIF($F:$F,F102)&gt;1,"REVIEW - same amount appears twice",IF(G102=0,"UNMATCHED - no ledger entry",IF(G102&gt;1,"REVIEW - matches several ledger entries","Matched"))))</f>
        <v/>
      </c>
    </row>
    <row r="103">
      <c r="A103" s="8" t="n"/>
      <c r="B103" s="9" t="n"/>
      <c r="C103" s="10" t="n"/>
      <c r="D103" s="10" t="n"/>
      <c r="E103" s="10">
        <f>N(C103)-N(D103)</f>
        <v/>
      </c>
      <c r="F103" s="9">
        <f>IF(E103=0,"",TEXT(ABS(E103),"0.00")&amp;"|"&amp;IF(E103&gt;0,"AR","AP"))</f>
        <v/>
      </c>
      <c r="G103" s="9">
        <f>IF(F103="","",COUNTIF(Ledger!$H:$H,F103))</f>
        <v/>
      </c>
      <c r="H103" s="9">
        <f>IF(F103="","",IF(COUNTIF($F:$F,F103)&gt;1,"REVIEW - same amount appears twice",IF(G103=0,"UNMATCHED - no ledger entry",IF(G103&gt;1,"REVIEW - matches several ledger entries","Matched"))))</f>
        <v/>
      </c>
    </row>
    <row r="104">
      <c r="A104" s="8" t="n"/>
      <c r="B104" s="9" t="n"/>
      <c r="C104" s="10" t="n"/>
      <c r="D104" s="10" t="n"/>
      <c r="E104" s="10">
        <f>N(C104)-N(D104)</f>
        <v/>
      </c>
      <c r="F104" s="9">
        <f>IF(E104=0,"",TEXT(ABS(E104),"0.00")&amp;"|"&amp;IF(E104&gt;0,"AR","AP"))</f>
        <v/>
      </c>
      <c r="G104" s="9">
        <f>IF(F104="","",COUNTIF(Ledger!$H:$H,F104))</f>
        <v/>
      </c>
      <c r="H104" s="9">
        <f>IF(F104="","",IF(COUNTIF($F:$F,F104)&gt;1,"REVIEW - same amount appears twice",IF(G104=0,"UNMATCHED - no ledger entry",IF(G104&gt;1,"REVIEW - matches several ledger entries","Matched"))))</f>
        <v/>
      </c>
    </row>
    <row r="105">
      <c r="A105" s="8" t="n"/>
      <c r="B105" s="9" t="n"/>
      <c r="C105" s="10" t="n"/>
      <c r="D105" s="10" t="n"/>
      <c r="E105" s="10">
        <f>N(C105)-N(D105)</f>
        <v/>
      </c>
      <c r="F105" s="9">
        <f>IF(E105=0,"",TEXT(ABS(E105),"0.00")&amp;"|"&amp;IF(E105&gt;0,"AR","AP"))</f>
        <v/>
      </c>
      <c r="G105" s="9">
        <f>IF(F105="","",COUNTIF(Ledger!$H:$H,F105))</f>
        <v/>
      </c>
      <c r="H105" s="9">
        <f>IF(F105="","",IF(COUNTIF($F:$F,F105)&gt;1,"REVIEW - same amount appears twice",IF(G105=0,"UNMATCHED - no ledger entry",IF(G105&gt;1,"REVIEW - matches several ledger entries","Matched"))))</f>
        <v/>
      </c>
    </row>
    <row r="106">
      <c r="A106" s="8" t="n"/>
      <c r="B106" s="9" t="n"/>
      <c r="C106" s="10" t="n"/>
      <c r="D106" s="10" t="n"/>
      <c r="E106" s="10">
        <f>N(C106)-N(D106)</f>
        <v/>
      </c>
      <c r="F106" s="9">
        <f>IF(E106=0,"",TEXT(ABS(E106),"0.00")&amp;"|"&amp;IF(E106&gt;0,"AR","AP"))</f>
        <v/>
      </c>
      <c r="G106" s="9">
        <f>IF(F106="","",COUNTIF(Ledger!$H:$H,F106))</f>
        <v/>
      </c>
      <c r="H106" s="9">
        <f>IF(F106="","",IF(COUNTIF($F:$F,F106)&gt;1,"REVIEW - same amount appears twice",IF(G106=0,"UNMATCHED - no ledger entry",IF(G106&gt;1,"REVIEW - matches several ledger entries","Matched"))))</f>
        <v/>
      </c>
    </row>
    <row r="107">
      <c r="A107" s="8" t="n"/>
      <c r="B107" s="9" t="n"/>
      <c r="C107" s="10" t="n"/>
      <c r="D107" s="10" t="n"/>
      <c r="E107" s="10">
        <f>N(C107)-N(D107)</f>
        <v/>
      </c>
      <c r="F107" s="9">
        <f>IF(E107=0,"",TEXT(ABS(E107),"0.00")&amp;"|"&amp;IF(E107&gt;0,"AR","AP"))</f>
        <v/>
      </c>
      <c r="G107" s="9">
        <f>IF(F107="","",COUNTIF(Ledger!$H:$H,F107))</f>
        <v/>
      </c>
      <c r="H107" s="9">
        <f>IF(F107="","",IF(COUNTIF($F:$F,F107)&gt;1,"REVIEW - same amount appears twice",IF(G107=0,"UNMATCHED - no ledger entry",IF(G107&gt;1,"REVIEW - matches several ledger entries","Matched"))))</f>
        <v/>
      </c>
    </row>
    <row r="108">
      <c r="A108" s="8" t="n"/>
      <c r="B108" s="9" t="n"/>
      <c r="C108" s="10" t="n"/>
      <c r="D108" s="10" t="n"/>
      <c r="E108" s="10">
        <f>N(C108)-N(D108)</f>
        <v/>
      </c>
      <c r="F108" s="9">
        <f>IF(E108=0,"",TEXT(ABS(E108),"0.00")&amp;"|"&amp;IF(E108&gt;0,"AR","AP"))</f>
        <v/>
      </c>
      <c r="G108" s="9">
        <f>IF(F108="","",COUNTIF(Ledger!$H:$H,F108))</f>
        <v/>
      </c>
      <c r="H108" s="9">
        <f>IF(F108="","",IF(COUNTIF($F:$F,F108)&gt;1,"REVIEW - same amount appears twice",IF(G108=0,"UNMATCHED - no ledger entry",IF(G108&gt;1,"REVIEW - matches several ledger entries","Matched"))))</f>
        <v/>
      </c>
    </row>
    <row r="109">
      <c r="A109" s="8" t="n"/>
      <c r="B109" s="9" t="n"/>
      <c r="C109" s="10" t="n"/>
      <c r="D109" s="10" t="n"/>
      <c r="E109" s="10">
        <f>N(C109)-N(D109)</f>
        <v/>
      </c>
      <c r="F109" s="9">
        <f>IF(E109=0,"",TEXT(ABS(E109),"0.00")&amp;"|"&amp;IF(E109&gt;0,"AR","AP"))</f>
        <v/>
      </c>
      <c r="G109" s="9">
        <f>IF(F109="","",COUNTIF(Ledger!$H:$H,F109))</f>
        <v/>
      </c>
      <c r="H109" s="9">
        <f>IF(F109="","",IF(COUNTIF($F:$F,F109)&gt;1,"REVIEW - same amount appears twice",IF(G109=0,"UNMATCHED - no ledger entry",IF(G109&gt;1,"REVIEW - matches several ledger entries","Matched"))))</f>
        <v/>
      </c>
    </row>
    <row r="110">
      <c r="A110" s="8" t="n"/>
      <c r="B110" s="9" t="n"/>
      <c r="C110" s="10" t="n"/>
      <c r="D110" s="10" t="n"/>
      <c r="E110" s="10">
        <f>N(C110)-N(D110)</f>
        <v/>
      </c>
      <c r="F110" s="9">
        <f>IF(E110=0,"",TEXT(ABS(E110),"0.00")&amp;"|"&amp;IF(E110&gt;0,"AR","AP"))</f>
        <v/>
      </c>
      <c r="G110" s="9">
        <f>IF(F110="","",COUNTIF(Ledger!$H:$H,F110))</f>
        <v/>
      </c>
      <c r="H110" s="9">
        <f>IF(F110="","",IF(COUNTIF($F:$F,F110)&gt;1,"REVIEW - same amount appears twice",IF(G110=0,"UNMATCHED - no ledger entry",IF(G110&gt;1,"REVIEW - matches several ledger entries","Matched"))))</f>
        <v/>
      </c>
    </row>
    <row r="111">
      <c r="A111" s="8" t="n"/>
      <c r="B111" s="9" t="n"/>
      <c r="C111" s="10" t="n"/>
      <c r="D111" s="10" t="n"/>
      <c r="E111" s="10">
        <f>N(C111)-N(D111)</f>
        <v/>
      </c>
      <c r="F111" s="9">
        <f>IF(E111=0,"",TEXT(ABS(E111),"0.00")&amp;"|"&amp;IF(E111&gt;0,"AR","AP"))</f>
        <v/>
      </c>
      <c r="G111" s="9">
        <f>IF(F111="","",COUNTIF(Ledger!$H:$H,F111))</f>
        <v/>
      </c>
      <c r="H111" s="9">
        <f>IF(F111="","",IF(COUNTIF($F:$F,F111)&gt;1,"REVIEW - same amount appears twice",IF(G111=0,"UNMATCHED - no ledger entry",IF(G111&gt;1,"REVIEW - matches several ledger entries","Matched"))))</f>
        <v/>
      </c>
    </row>
    <row r="112">
      <c r="A112" s="8" t="n"/>
      <c r="B112" s="9" t="n"/>
      <c r="C112" s="10" t="n"/>
      <c r="D112" s="10" t="n"/>
      <c r="E112" s="10">
        <f>N(C112)-N(D112)</f>
        <v/>
      </c>
      <c r="F112" s="9">
        <f>IF(E112=0,"",TEXT(ABS(E112),"0.00")&amp;"|"&amp;IF(E112&gt;0,"AR","AP"))</f>
        <v/>
      </c>
      <c r="G112" s="9">
        <f>IF(F112="","",COUNTIF(Ledger!$H:$H,F112))</f>
        <v/>
      </c>
      <c r="H112" s="9">
        <f>IF(F112="","",IF(COUNTIF($F:$F,F112)&gt;1,"REVIEW - same amount appears twice",IF(G112=0,"UNMATCHED - no ledger entry",IF(G112&gt;1,"REVIEW - matches several ledger entries","Matched"))))</f>
        <v/>
      </c>
    </row>
    <row r="113">
      <c r="A113" s="8" t="n"/>
      <c r="B113" s="9" t="n"/>
      <c r="C113" s="10" t="n"/>
      <c r="D113" s="10" t="n"/>
      <c r="E113" s="10">
        <f>N(C113)-N(D113)</f>
        <v/>
      </c>
      <c r="F113" s="9">
        <f>IF(E113=0,"",TEXT(ABS(E113),"0.00")&amp;"|"&amp;IF(E113&gt;0,"AR","AP"))</f>
        <v/>
      </c>
      <c r="G113" s="9">
        <f>IF(F113="","",COUNTIF(Ledger!$H:$H,F113))</f>
        <v/>
      </c>
      <c r="H113" s="9">
        <f>IF(F113="","",IF(COUNTIF($F:$F,F113)&gt;1,"REVIEW - same amount appears twice",IF(G113=0,"UNMATCHED - no ledger entry",IF(G113&gt;1,"REVIEW - matches several ledger entries","Matched"))))</f>
        <v/>
      </c>
    </row>
    <row r="114">
      <c r="A114" s="8" t="n"/>
      <c r="B114" s="9" t="n"/>
      <c r="C114" s="10" t="n"/>
      <c r="D114" s="10" t="n"/>
      <c r="E114" s="10">
        <f>N(C114)-N(D114)</f>
        <v/>
      </c>
      <c r="F114" s="9">
        <f>IF(E114=0,"",TEXT(ABS(E114),"0.00")&amp;"|"&amp;IF(E114&gt;0,"AR","AP"))</f>
        <v/>
      </c>
      <c r="G114" s="9">
        <f>IF(F114="","",COUNTIF(Ledger!$H:$H,F114))</f>
        <v/>
      </c>
      <c r="H114" s="9">
        <f>IF(F114="","",IF(COUNTIF($F:$F,F114)&gt;1,"REVIEW - same amount appears twice",IF(G114=0,"UNMATCHED - no ledger entry",IF(G114&gt;1,"REVIEW - matches several ledger entries","Matched"))))</f>
        <v/>
      </c>
    </row>
    <row r="115">
      <c r="A115" s="8" t="n"/>
      <c r="B115" s="9" t="n"/>
      <c r="C115" s="10" t="n"/>
      <c r="D115" s="10" t="n"/>
      <c r="E115" s="10">
        <f>N(C115)-N(D115)</f>
        <v/>
      </c>
      <c r="F115" s="9">
        <f>IF(E115=0,"",TEXT(ABS(E115),"0.00")&amp;"|"&amp;IF(E115&gt;0,"AR","AP"))</f>
        <v/>
      </c>
      <c r="G115" s="9">
        <f>IF(F115="","",COUNTIF(Ledger!$H:$H,F115))</f>
        <v/>
      </c>
      <c r="H115" s="9">
        <f>IF(F115="","",IF(COUNTIF($F:$F,F115)&gt;1,"REVIEW - same amount appears twice",IF(G115=0,"UNMATCHED - no ledger entry",IF(G115&gt;1,"REVIEW - matches several ledger entries","Matched"))))</f>
        <v/>
      </c>
    </row>
    <row r="116">
      <c r="A116" s="8" t="n"/>
      <c r="B116" s="9" t="n"/>
      <c r="C116" s="10" t="n"/>
      <c r="D116" s="10" t="n"/>
      <c r="E116" s="10">
        <f>N(C116)-N(D116)</f>
        <v/>
      </c>
      <c r="F116" s="9">
        <f>IF(E116=0,"",TEXT(ABS(E116),"0.00")&amp;"|"&amp;IF(E116&gt;0,"AR","AP"))</f>
        <v/>
      </c>
      <c r="G116" s="9">
        <f>IF(F116="","",COUNTIF(Ledger!$H:$H,F116))</f>
        <v/>
      </c>
      <c r="H116" s="9">
        <f>IF(F116="","",IF(COUNTIF($F:$F,F116)&gt;1,"REVIEW - same amount appears twice",IF(G116=0,"UNMATCHED - no ledger entry",IF(G116&gt;1,"REVIEW - matches several ledger entries","Matched"))))</f>
        <v/>
      </c>
    </row>
    <row r="117">
      <c r="A117" s="8" t="n"/>
      <c r="B117" s="9" t="n"/>
      <c r="C117" s="10" t="n"/>
      <c r="D117" s="10" t="n"/>
      <c r="E117" s="10">
        <f>N(C117)-N(D117)</f>
        <v/>
      </c>
      <c r="F117" s="9">
        <f>IF(E117=0,"",TEXT(ABS(E117),"0.00")&amp;"|"&amp;IF(E117&gt;0,"AR","AP"))</f>
        <v/>
      </c>
      <c r="G117" s="9">
        <f>IF(F117="","",COUNTIF(Ledger!$H:$H,F117))</f>
        <v/>
      </c>
      <c r="H117" s="9">
        <f>IF(F117="","",IF(COUNTIF($F:$F,F117)&gt;1,"REVIEW - same amount appears twice",IF(G117=0,"UNMATCHED - no ledger entry",IF(G117&gt;1,"REVIEW - matches several ledger entries","Matched"))))</f>
        <v/>
      </c>
    </row>
    <row r="118">
      <c r="A118" s="8" t="n"/>
      <c r="B118" s="9" t="n"/>
      <c r="C118" s="10" t="n"/>
      <c r="D118" s="10" t="n"/>
      <c r="E118" s="10">
        <f>N(C118)-N(D118)</f>
        <v/>
      </c>
      <c r="F118" s="9">
        <f>IF(E118=0,"",TEXT(ABS(E118),"0.00")&amp;"|"&amp;IF(E118&gt;0,"AR","AP"))</f>
        <v/>
      </c>
      <c r="G118" s="9">
        <f>IF(F118="","",COUNTIF(Ledger!$H:$H,F118))</f>
        <v/>
      </c>
      <c r="H118" s="9">
        <f>IF(F118="","",IF(COUNTIF($F:$F,F118)&gt;1,"REVIEW - same amount appears twice",IF(G118=0,"UNMATCHED - no ledger entry",IF(G118&gt;1,"REVIEW - matches several ledger entries","Matched"))))</f>
        <v/>
      </c>
    </row>
    <row r="119">
      <c r="A119" s="8" t="n"/>
      <c r="B119" s="9" t="n"/>
      <c r="C119" s="10" t="n"/>
      <c r="D119" s="10" t="n"/>
      <c r="E119" s="10">
        <f>N(C119)-N(D119)</f>
        <v/>
      </c>
      <c r="F119" s="9">
        <f>IF(E119=0,"",TEXT(ABS(E119),"0.00")&amp;"|"&amp;IF(E119&gt;0,"AR","AP"))</f>
        <v/>
      </c>
      <c r="G119" s="9">
        <f>IF(F119="","",COUNTIF(Ledger!$H:$H,F119))</f>
        <v/>
      </c>
      <c r="H119" s="9">
        <f>IF(F119="","",IF(COUNTIF($F:$F,F119)&gt;1,"REVIEW - same amount appears twice",IF(G119=0,"UNMATCHED - no ledger entry",IF(G119&gt;1,"REVIEW - matches several ledger entries","Matched"))))</f>
        <v/>
      </c>
    </row>
    <row r="120">
      <c r="A120" s="8" t="n"/>
      <c r="B120" s="9" t="n"/>
      <c r="C120" s="10" t="n"/>
      <c r="D120" s="10" t="n"/>
      <c r="E120" s="10">
        <f>N(C120)-N(D120)</f>
        <v/>
      </c>
      <c r="F120" s="9">
        <f>IF(E120=0,"",TEXT(ABS(E120),"0.00")&amp;"|"&amp;IF(E120&gt;0,"AR","AP"))</f>
        <v/>
      </c>
      <c r="G120" s="9">
        <f>IF(F120="","",COUNTIF(Ledger!$H:$H,F120))</f>
        <v/>
      </c>
      <c r="H120" s="9">
        <f>IF(F120="","",IF(COUNTIF($F:$F,F120)&gt;1,"REVIEW - same amount appears twice",IF(G120=0,"UNMATCHED - no ledger entry",IF(G120&gt;1,"REVIEW - matches several ledger entries","Matched"))))</f>
        <v/>
      </c>
    </row>
    <row r="121">
      <c r="A121" s="8" t="n"/>
      <c r="B121" s="9" t="n"/>
      <c r="C121" s="10" t="n"/>
      <c r="D121" s="10" t="n"/>
      <c r="E121" s="10">
        <f>N(C121)-N(D121)</f>
        <v/>
      </c>
      <c r="F121" s="9">
        <f>IF(E121=0,"",TEXT(ABS(E121),"0.00")&amp;"|"&amp;IF(E121&gt;0,"AR","AP"))</f>
        <v/>
      </c>
      <c r="G121" s="9">
        <f>IF(F121="","",COUNTIF(Ledger!$H:$H,F121))</f>
        <v/>
      </c>
      <c r="H121" s="9">
        <f>IF(F121="","",IF(COUNTIF($F:$F,F121)&gt;1,"REVIEW - same amount appears twice",IF(G121=0,"UNMATCHED - no ledger entry",IF(G121&gt;1,"REVIEW - matches several ledger entries","Matched"))))</f>
        <v/>
      </c>
    </row>
    <row r="122">
      <c r="A122" s="8" t="n"/>
      <c r="B122" s="9" t="n"/>
      <c r="C122" s="10" t="n"/>
      <c r="D122" s="10" t="n"/>
      <c r="E122" s="10">
        <f>N(C122)-N(D122)</f>
        <v/>
      </c>
      <c r="F122" s="9">
        <f>IF(E122=0,"",TEXT(ABS(E122),"0.00")&amp;"|"&amp;IF(E122&gt;0,"AR","AP"))</f>
        <v/>
      </c>
      <c r="G122" s="9">
        <f>IF(F122="","",COUNTIF(Ledger!$H:$H,F122))</f>
        <v/>
      </c>
      <c r="H122" s="9">
        <f>IF(F122="","",IF(COUNTIF($F:$F,F122)&gt;1,"REVIEW - same amount appears twice",IF(G122=0,"UNMATCHED - no ledger entry",IF(G122&gt;1,"REVIEW - matches several ledger entries","Matched"))))</f>
        <v/>
      </c>
    </row>
    <row r="123">
      <c r="A123" s="8" t="n"/>
      <c r="B123" s="9" t="n"/>
      <c r="C123" s="10" t="n"/>
      <c r="D123" s="10" t="n"/>
      <c r="E123" s="10">
        <f>N(C123)-N(D123)</f>
        <v/>
      </c>
      <c r="F123" s="9">
        <f>IF(E123=0,"",TEXT(ABS(E123),"0.00")&amp;"|"&amp;IF(E123&gt;0,"AR","AP"))</f>
        <v/>
      </c>
      <c r="G123" s="9">
        <f>IF(F123="","",COUNTIF(Ledger!$H:$H,F123))</f>
        <v/>
      </c>
      <c r="H123" s="9">
        <f>IF(F123="","",IF(COUNTIF($F:$F,F123)&gt;1,"REVIEW - same amount appears twice",IF(G123=0,"UNMATCHED - no ledger entry",IF(G123&gt;1,"REVIEW - matches several ledger entries","Matched"))))</f>
        <v/>
      </c>
    </row>
    <row r="124">
      <c r="A124" s="8" t="n"/>
      <c r="B124" s="9" t="n"/>
      <c r="C124" s="10" t="n"/>
      <c r="D124" s="10" t="n"/>
      <c r="E124" s="10">
        <f>N(C124)-N(D124)</f>
        <v/>
      </c>
      <c r="F124" s="9">
        <f>IF(E124=0,"",TEXT(ABS(E124),"0.00")&amp;"|"&amp;IF(E124&gt;0,"AR","AP"))</f>
        <v/>
      </c>
      <c r="G124" s="9">
        <f>IF(F124="","",COUNTIF(Ledger!$H:$H,F124))</f>
        <v/>
      </c>
      <c r="H124" s="9">
        <f>IF(F124="","",IF(COUNTIF($F:$F,F124)&gt;1,"REVIEW - same amount appears twice",IF(G124=0,"UNMATCHED - no ledger entry",IF(G124&gt;1,"REVIEW - matches several ledger entries","Matched"))))</f>
        <v/>
      </c>
    </row>
    <row r="125">
      <c r="A125" s="8" t="n"/>
      <c r="B125" s="9" t="n"/>
      <c r="C125" s="10" t="n"/>
      <c r="D125" s="10" t="n"/>
      <c r="E125" s="10">
        <f>N(C125)-N(D125)</f>
        <v/>
      </c>
      <c r="F125" s="9">
        <f>IF(E125=0,"",TEXT(ABS(E125),"0.00")&amp;"|"&amp;IF(E125&gt;0,"AR","AP"))</f>
        <v/>
      </c>
      <c r="G125" s="9">
        <f>IF(F125="","",COUNTIF(Ledger!$H:$H,F125))</f>
        <v/>
      </c>
      <c r="H125" s="9">
        <f>IF(F125="","",IF(COUNTIF($F:$F,F125)&gt;1,"REVIEW - same amount appears twice",IF(G125=0,"UNMATCHED - no ledger entry",IF(G125&gt;1,"REVIEW - matches several ledger entries","Matched"))))</f>
        <v/>
      </c>
    </row>
    <row r="126">
      <c r="A126" s="8" t="n"/>
      <c r="B126" s="9" t="n"/>
      <c r="C126" s="10" t="n"/>
      <c r="D126" s="10" t="n"/>
      <c r="E126" s="10">
        <f>N(C126)-N(D126)</f>
        <v/>
      </c>
      <c r="F126" s="9">
        <f>IF(E126=0,"",TEXT(ABS(E126),"0.00")&amp;"|"&amp;IF(E126&gt;0,"AR","AP"))</f>
        <v/>
      </c>
      <c r="G126" s="9">
        <f>IF(F126="","",COUNTIF(Ledger!$H:$H,F126))</f>
        <v/>
      </c>
      <c r="H126" s="9">
        <f>IF(F126="","",IF(COUNTIF($F:$F,F126)&gt;1,"REVIEW - same amount appears twice",IF(G126=0,"UNMATCHED - no ledger entry",IF(G126&gt;1,"REVIEW - matches several ledger entries","Matched"))))</f>
        <v/>
      </c>
    </row>
    <row r="127">
      <c r="A127" s="8" t="n"/>
      <c r="B127" s="9" t="n"/>
      <c r="C127" s="10" t="n"/>
      <c r="D127" s="10" t="n"/>
      <c r="E127" s="10">
        <f>N(C127)-N(D127)</f>
        <v/>
      </c>
      <c r="F127" s="9">
        <f>IF(E127=0,"",TEXT(ABS(E127),"0.00")&amp;"|"&amp;IF(E127&gt;0,"AR","AP"))</f>
        <v/>
      </c>
      <c r="G127" s="9">
        <f>IF(F127="","",COUNTIF(Ledger!$H:$H,F127))</f>
        <v/>
      </c>
      <c r="H127" s="9">
        <f>IF(F127="","",IF(COUNTIF($F:$F,F127)&gt;1,"REVIEW - same amount appears twice",IF(G127=0,"UNMATCHED - no ledger entry",IF(G127&gt;1,"REVIEW - matches several ledger entries","Matched"))))</f>
        <v/>
      </c>
    </row>
    <row r="128">
      <c r="A128" s="8" t="n"/>
      <c r="B128" s="9" t="n"/>
      <c r="C128" s="10" t="n"/>
      <c r="D128" s="10" t="n"/>
      <c r="E128" s="10">
        <f>N(C128)-N(D128)</f>
        <v/>
      </c>
      <c r="F128" s="9">
        <f>IF(E128=0,"",TEXT(ABS(E128),"0.00")&amp;"|"&amp;IF(E128&gt;0,"AR","AP"))</f>
        <v/>
      </c>
      <c r="G128" s="9">
        <f>IF(F128="","",COUNTIF(Ledger!$H:$H,F128))</f>
        <v/>
      </c>
      <c r="H128" s="9">
        <f>IF(F128="","",IF(COUNTIF($F:$F,F128)&gt;1,"REVIEW - same amount appears twice",IF(G128=0,"UNMATCHED - no ledger entry",IF(G128&gt;1,"REVIEW - matches several ledger entries","Matched"))))</f>
        <v/>
      </c>
    </row>
    <row r="129">
      <c r="A129" s="8" t="n"/>
      <c r="B129" s="9" t="n"/>
      <c r="C129" s="10" t="n"/>
      <c r="D129" s="10" t="n"/>
      <c r="E129" s="10">
        <f>N(C129)-N(D129)</f>
        <v/>
      </c>
      <c r="F129" s="9">
        <f>IF(E129=0,"",TEXT(ABS(E129),"0.00")&amp;"|"&amp;IF(E129&gt;0,"AR","AP"))</f>
        <v/>
      </c>
      <c r="G129" s="9">
        <f>IF(F129="","",COUNTIF(Ledger!$H:$H,F129))</f>
        <v/>
      </c>
      <c r="H129" s="9">
        <f>IF(F129="","",IF(COUNTIF($F:$F,F129)&gt;1,"REVIEW - same amount appears twice",IF(G129=0,"UNMATCHED - no ledger entry",IF(G129&gt;1,"REVIEW - matches several ledger entries","Matched"))))</f>
        <v/>
      </c>
    </row>
    <row r="130">
      <c r="A130" s="8" t="n"/>
      <c r="B130" s="9" t="n"/>
      <c r="C130" s="10" t="n"/>
      <c r="D130" s="10" t="n"/>
      <c r="E130" s="10">
        <f>N(C130)-N(D130)</f>
        <v/>
      </c>
      <c r="F130" s="9">
        <f>IF(E130=0,"",TEXT(ABS(E130),"0.00")&amp;"|"&amp;IF(E130&gt;0,"AR","AP"))</f>
        <v/>
      </c>
      <c r="G130" s="9">
        <f>IF(F130="","",COUNTIF(Ledger!$H:$H,F130))</f>
        <v/>
      </c>
      <c r="H130" s="9">
        <f>IF(F130="","",IF(COUNTIF($F:$F,F130)&gt;1,"REVIEW - same amount appears twice",IF(G130=0,"UNMATCHED - no ledger entry",IF(G130&gt;1,"REVIEW - matches several ledger entries","Matched"))))</f>
        <v/>
      </c>
    </row>
    <row r="131">
      <c r="A131" s="8" t="n"/>
      <c r="B131" s="9" t="n"/>
      <c r="C131" s="10" t="n"/>
      <c r="D131" s="10" t="n"/>
      <c r="E131" s="10">
        <f>N(C131)-N(D131)</f>
        <v/>
      </c>
      <c r="F131" s="9">
        <f>IF(E131=0,"",TEXT(ABS(E131),"0.00")&amp;"|"&amp;IF(E131&gt;0,"AR","AP"))</f>
        <v/>
      </c>
      <c r="G131" s="9">
        <f>IF(F131="","",COUNTIF(Ledger!$H:$H,F131))</f>
        <v/>
      </c>
      <c r="H131" s="9">
        <f>IF(F131="","",IF(COUNTIF($F:$F,F131)&gt;1,"REVIEW - same amount appears twice",IF(G131=0,"UNMATCHED - no ledger entry",IF(G131&gt;1,"REVIEW - matches several ledger entries","Matched"))))</f>
        <v/>
      </c>
    </row>
    <row r="132">
      <c r="A132" s="8" t="n"/>
      <c r="B132" s="9" t="n"/>
      <c r="C132" s="10" t="n"/>
      <c r="D132" s="10" t="n"/>
      <c r="E132" s="10">
        <f>N(C132)-N(D132)</f>
        <v/>
      </c>
      <c r="F132" s="9">
        <f>IF(E132=0,"",TEXT(ABS(E132),"0.00")&amp;"|"&amp;IF(E132&gt;0,"AR","AP"))</f>
        <v/>
      </c>
      <c r="G132" s="9">
        <f>IF(F132="","",COUNTIF(Ledger!$H:$H,F132))</f>
        <v/>
      </c>
      <c r="H132" s="9">
        <f>IF(F132="","",IF(COUNTIF($F:$F,F132)&gt;1,"REVIEW - same amount appears twice",IF(G132=0,"UNMATCHED - no ledger entry",IF(G132&gt;1,"REVIEW - matches several ledger entries","Matched"))))</f>
        <v/>
      </c>
    </row>
    <row r="133">
      <c r="A133" s="8" t="n"/>
      <c r="B133" s="9" t="n"/>
      <c r="C133" s="10" t="n"/>
      <c r="D133" s="10" t="n"/>
      <c r="E133" s="10">
        <f>N(C133)-N(D133)</f>
        <v/>
      </c>
      <c r="F133" s="9">
        <f>IF(E133=0,"",TEXT(ABS(E133),"0.00")&amp;"|"&amp;IF(E133&gt;0,"AR","AP"))</f>
        <v/>
      </c>
      <c r="G133" s="9">
        <f>IF(F133="","",COUNTIF(Ledger!$H:$H,F133))</f>
        <v/>
      </c>
      <c r="H133" s="9">
        <f>IF(F133="","",IF(COUNTIF($F:$F,F133)&gt;1,"REVIEW - same amount appears twice",IF(G133=0,"UNMATCHED - no ledger entry",IF(G133&gt;1,"REVIEW - matches several ledger entries","Matched"))))</f>
        <v/>
      </c>
    </row>
    <row r="134">
      <c r="A134" s="8" t="n"/>
      <c r="B134" s="9" t="n"/>
      <c r="C134" s="10" t="n"/>
      <c r="D134" s="10" t="n"/>
      <c r="E134" s="10">
        <f>N(C134)-N(D134)</f>
        <v/>
      </c>
      <c r="F134" s="9">
        <f>IF(E134=0,"",TEXT(ABS(E134),"0.00")&amp;"|"&amp;IF(E134&gt;0,"AR","AP"))</f>
        <v/>
      </c>
      <c r="G134" s="9">
        <f>IF(F134="","",COUNTIF(Ledger!$H:$H,F134))</f>
        <v/>
      </c>
      <c r="H134" s="9">
        <f>IF(F134="","",IF(COUNTIF($F:$F,F134)&gt;1,"REVIEW - same amount appears twice",IF(G134=0,"UNMATCHED - no ledger entry",IF(G134&gt;1,"REVIEW - matches several ledger entries","Matched"))))</f>
        <v/>
      </c>
    </row>
    <row r="135">
      <c r="A135" s="8" t="n"/>
      <c r="B135" s="9" t="n"/>
      <c r="C135" s="10" t="n"/>
      <c r="D135" s="10" t="n"/>
      <c r="E135" s="10">
        <f>N(C135)-N(D135)</f>
        <v/>
      </c>
      <c r="F135" s="9">
        <f>IF(E135=0,"",TEXT(ABS(E135),"0.00")&amp;"|"&amp;IF(E135&gt;0,"AR","AP"))</f>
        <v/>
      </c>
      <c r="G135" s="9">
        <f>IF(F135="","",COUNTIF(Ledger!$H:$H,F135))</f>
        <v/>
      </c>
      <c r="H135" s="9">
        <f>IF(F135="","",IF(COUNTIF($F:$F,F135)&gt;1,"REVIEW - same amount appears twice",IF(G135=0,"UNMATCHED - no ledger entry",IF(G135&gt;1,"REVIEW - matches several ledger entries","Matched"))))</f>
        <v/>
      </c>
    </row>
    <row r="136">
      <c r="A136" s="8" t="n"/>
      <c r="B136" s="9" t="n"/>
      <c r="C136" s="10" t="n"/>
      <c r="D136" s="10" t="n"/>
      <c r="E136" s="10">
        <f>N(C136)-N(D136)</f>
        <v/>
      </c>
      <c r="F136" s="9">
        <f>IF(E136=0,"",TEXT(ABS(E136),"0.00")&amp;"|"&amp;IF(E136&gt;0,"AR","AP"))</f>
        <v/>
      </c>
      <c r="G136" s="9">
        <f>IF(F136="","",COUNTIF(Ledger!$H:$H,F136))</f>
        <v/>
      </c>
      <c r="H136" s="9">
        <f>IF(F136="","",IF(COUNTIF($F:$F,F136)&gt;1,"REVIEW - same amount appears twice",IF(G136=0,"UNMATCHED - no ledger entry",IF(G136&gt;1,"REVIEW - matches several ledger entries","Matched"))))</f>
        <v/>
      </c>
    </row>
    <row r="137">
      <c r="A137" s="8" t="n"/>
      <c r="B137" s="9" t="n"/>
      <c r="C137" s="10" t="n"/>
      <c r="D137" s="10" t="n"/>
      <c r="E137" s="10">
        <f>N(C137)-N(D137)</f>
        <v/>
      </c>
      <c r="F137" s="9">
        <f>IF(E137=0,"",TEXT(ABS(E137),"0.00")&amp;"|"&amp;IF(E137&gt;0,"AR","AP"))</f>
        <v/>
      </c>
      <c r="G137" s="9">
        <f>IF(F137="","",COUNTIF(Ledger!$H:$H,F137))</f>
        <v/>
      </c>
      <c r="H137" s="9">
        <f>IF(F137="","",IF(COUNTIF($F:$F,F137)&gt;1,"REVIEW - same amount appears twice",IF(G137=0,"UNMATCHED - no ledger entry",IF(G137&gt;1,"REVIEW - matches several ledger entries","Matched"))))</f>
        <v/>
      </c>
    </row>
    <row r="138">
      <c r="A138" s="8" t="n"/>
      <c r="B138" s="9" t="n"/>
      <c r="C138" s="10" t="n"/>
      <c r="D138" s="10" t="n"/>
      <c r="E138" s="10">
        <f>N(C138)-N(D138)</f>
        <v/>
      </c>
      <c r="F138" s="9">
        <f>IF(E138=0,"",TEXT(ABS(E138),"0.00")&amp;"|"&amp;IF(E138&gt;0,"AR","AP"))</f>
        <v/>
      </c>
      <c r="G138" s="9">
        <f>IF(F138="","",COUNTIF(Ledger!$H:$H,F138))</f>
        <v/>
      </c>
      <c r="H138" s="9">
        <f>IF(F138="","",IF(COUNTIF($F:$F,F138)&gt;1,"REVIEW - same amount appears twice",IF(G138=0,"UNMATCHED - no ledger entry",IF(G138&gt;1,"REVIEW - matches several ledger entries","Matched"))))</f>
        <v/>
      </c>
    </row>
    <row r="139">
      <c r="A139" s="8" t="n"/>
      <c r="B139" s="9" t="n"/>
      <c r="C139" s="10" t="n"/>
      <c r="D139" s="10" t="n"/>
      <c r="E139" s="10">
        <f>N(C139)-N(D139)</f>
        <v/>
      </c>
      <c r="F139" s="9">
        <f>IF(E139=0,"",TEXT(ABS(E139),"0.00")&amp;"|"&amp;IF(E139&gt;0,"AR","AP"))</f>
        <v/>
      </c>
      <c r="G139" s="9">
        <f>IF(F139="","",COUNTIF(Ledger!$H:$H,F139))</f>
        <v/>
      </c>
      <c r="H139" s="9">
        <f>IF(F139="","",IF(COUNTIF($F:$F,F139)&gt;1,"REVIEW - same amount appears twice",IF(G139=0,"UNMATCHED - no ledger entry",IF(G139&gt;1,"REVIEW - matches several ledger entries","Matched"))))</f>
        <v/>
      </c>
    </row>
    <row r="140">
      <c r="A140" s="8" t="n"/>
      <c r="B140" s="9" t="n"/>
      <c r="C140" s="10" t="n"/>
      <c r="D140" s="10" t="n"/>
      <c r="E140" s="10">
        <f>N(C140)-N(D140)</f>
        <v/>
      </c>
      <c r="F140" s="9">
        <f>IF(E140=0,"",TEXT(ABS(E140),"0.00")&amp;"|"&amp;IF(E140&gt;0,"AR","AP"))</f>
        <v/>
      </c>
      <c r="G140" s="9">
        <f>IF(F140="","",COUNTIF(Ledger!$H:$H,F140))</f>
        <v/>
      </c>
      <c r="H140" s="9">
        <f>IF(F140="","",IF(COUNTIF($F:$F,F140)&gt;1,"REVIEW - same amount appears twice",IF(G140=0,"UNMATCHED - no ledger entry",IF(G140&gt;1,"REVIEW - matches several ledger entries","Matched"))))</f>
        <v/>
      </c>
    </row>
    <row r="141">
      <c r="A141" s="8" t="n"/>
      <c r="B141" s="9" t="n"/>
      <c r="C141" s="10" t="n"/>
      <c r="D141" s="10" t="n"/>
      <c r="E141" s="10">
        <f>N(C141)-N(D141)</f>
        <v/>
      </c>
      <c r="F141" s="9">
        <f>IF(E141=0,"",TEXT(ABS(E141),"0.00")&amp;"|"&amp;IF(E141&gt;0,"AR","AP"))</f>
        <v/>
      </c>
      <c r="G141" s="9">
        <f>IF(F141="","",COUNTIF(Ledger!$H:$H,F141))</f>
        <v/>
      </c>
      <c r="H141" s="9">
        <f>IF(F141="","",IF(COUNTIF($F:$F,F141)&gt;1,"REVIEW - same amount appears twice",IF(G141=0,"UNMATCHED - no ledger entry",IF(G141&gt;1,"REVIEW - matches several ledger entries","Matched"))))</f>
        <v/>
      </c>
    </row>
    <row r="142">
      <c r="A142" s="8" t="n"/>
      <c r="B142" s="9" t="n"/>
      <c r="C142" s="10" t="n"/>
      <c r="D142" s="10" t="n"/>
      <c r="E142" s="10">
        <f>N(C142)-N(D142)</f>
        <v/>
      </c>
      <c r="F142" s="9">
        <f>IF(E142=0,"",TEXT(ABS(E142),"0.00")&amp;"|"&amp;IF(E142&gt;0,"AR","AP"))</f>
        <v/>
      </c>
      <c r="G142" s="9">
        <f>IF(F142="","",COUNTIF(Ledger!$H:$H,F142))</f>
        <v/>
      </c>
      <c r="H142" s="9">
        <f>IF(F142="","",IF(COUNTIF($F:$F,F142)&gt;1,"REVIEW - same amount appears twice",IF(G142=0,"UNMATCHED - no ledger entry",IF(G142&gt;1,"REVIEW - matches several ledger entries","Matched"))))</f>
        <v/>
      </c>
    </row>
    <row r="143">
      <c r="A143" s="8" t="n"/>
      <c r="B143" s="9" t="n"/>
      <c r="C143" s="10" t="n"/>
      <c r="D143" s="10" t="n"/>
      <c r="E143" s="10">
        <f>N(C143)-N(D143)</f>
        <v/>
      </c>
      <c r="F143" s="9">
        <f>IF(E143=0,"",TEXT(ABS(E143),"0.00")&amp;"|"&amp;IF(E143&gt;0,"AR","AP"))</f>
        <v/>
      </c>
      <c r="G143" s="9">
        <f>IF(F143="","",COUNTIF(Ledger!$H:$H,F143))</f>
        <v/>
      </c>
      <c r="H143" s="9">
        <f>IF(F143="","",IF(COUNTIF($F:$F,F143)&gt;1,"REVIEW - same amount appears twice",IF(G143=0,"UNMATCHED - no ledger entry",IF(G143&gt;1,"REVIEW - matches several ledger entries","Matched"))))</f>
        <v/>
      </c>
    </row>
    <row r="144">
      <c r="A144" s="8" t="n"/>
      <c r="B144" s="9" t="n"/>
      <c r="C144" s="10" t="n"/>
      <c r="D144" s="10" t="n"/>
      <c r="E144" s="10">
        <f>N(C144)-N(D144)</f>
        <v/>
      </c>
      <c r="F144" s="9">
        <f>IF(E144=0,"",TEXT(ABS(E144),"0.00")&amp;"|"&amp;IF(E144&gt;0,"AR","AP"))</f>
        <v/>
      </c>
      <c r="G144" s="9">
        <f>IF(F144="","",COUNTIF(Ledger!$H:$H,F144))</f>
        <v/>
      </c>
      <c r="H144" s="9">
        <f>IF(F144="","",IF(COUNTIF($F:$F,F144)&gt;1,"REVIEW - same amount appears twice",IF(G144=0,"UNMATCHED - no ledger entry",IF(G144&gt;1,"REVIEW - matches several ledger entries","Matched"))))</f>
        <v/>
      </c>
    </row>
    <row r="145">
      <c r="A145" s="8" t="n"/>
      <c r="B145" s="9" t="n"/>
      <c r="C145" s="10" t="n"/>
      <c r="D145" s="10" t="n"/>
      <c r="E145" s="10">
        <f>N(C145)-N(D145)</f>
        <v/>
      </c>
      <c r="F145" s="9">
        <f>IF(E145=0,"",TEXT(ABS(E145),"0.00")&amp;"|"&amp;IF(E145&gt;0,"AR","AP"))</f>
        <v/>
      </c>
      <c r="G145" s="9">
        <f>IF(F145="","",COUNTIF(Ledger!$H:$H,F145))</f>
        <v/>
      </c>
      <c r="H145" s="9">
        <f>IF(F145="","",IF(COUNTIF($F:$F,F145)&gt;1,"REVIEW - same amount appears twice",IF(G145=0,"UNMATCHED - no ledger entry",IF(G145&gt;1,"REVIEW - matches several ledger entries","Matched"))))</f>
        <v/>
      </c>
    </row>
    <row r="146">
      <c r="A146" s="8" t="n"/>
      <c r="B146" s="9" t="n"/>
      <c r="C146" s="10" t="n"/>
      <c r="D146" s="10" t="n"/>
      <c r="E146" s="10">
        <f>N(C146)-N(D146)</f>
        <v/>
      </c>
      <c r="F146" s="9">
        <f>IF(E146=0,"",TEXT(ABS(E146),"0.00")&amp;"|"&amp;IF(E146&gt;0,"AR","AP"))</f>
        <v/>
      </c>
      <c r="G146" s="9">
        <f>IF(F146="","",COUNTIF(Ledger!$H:$H,F146))</f>
        <v/>
      </c>
      <c r="H146" s="9">
        <f>IF(F146="","",IF(COUNTIF($F:$F,F146)&gt;1,"REVIEW - same amount appears twice",IF(G146=0,"UNMATCHED - no ledger entry",IF(G146&gt;1,"REVIEW - matches several ledger entries","Matched"))))</f>
        <v/>
      </c>
    </row>
    <row r="147">
      <c r="A147" s="8" t="n"/>
      <c r="B147" s="9" t="n"/>
      <c r="C147" s="10" t="n"/>
      <c r="D147" s="10" t="n"/>
      <c r="E147" s="10">
        <f>N(C147)-N(D147)</f>
        <v/>
      </c>
      <c r="F147" s="9">
        <f>IF(E147=0,"",TEXT(ABS(E147),"0.00")&amp;"|"&amp;IF(E147&gt;0,"AR","AP"))</f>
        <v/>
      </c>
      <c r="G147" s="9">
        <f>IF(F147="","",COUNTIF(Ledger!$H:$H,F147))</f>
        <v/>
      </c>
      <c r="H147" s="9">
        <f>IF(F147="","",IF(COUNTIF($F:$F,F147)&gt;1,"REVIEW - same amount appears twice",IF(G147=0,"UNMATCHED - no ledger entry",IF(G147&gt;1,"REVIEW - matches several ledger entries","Matched"))))</f>
        <v/>
      </c>
    </row>
    <row r="148">
      <c r="A148" s="8" t="n"/>
      <c r="B148" s="9" t="n"/>
      <c r="C148" s="10" t="n"/>
      <c r="D148" s="10" t="n"/>
      <c r="E148" s="10">
        <f>N(C148)-N(D148)</f>
        <v/>
      </c>
      <c r="F148" s="9">
        <f>IF(E148=0,"",TEXT(ABS(E148),"0.00")&amp;"|"&amp;IF(E148&gt;0,"AR","AP"))</f>
        <v/>
      </c>
      <c r="G148" s="9">
        <f>IF(F148="","",COUNTIF(Ledger!$H:$H,F148))</f>
        <v/>
      </c>
      <c r="H148" s="9">
        <f>IF(F148="","",IF(COUNTIF($F:$F,F148)&gt;1,"REVIEW - same amount appears twice",IF(G148=0,"UNMATCHED - no ledger entry",IF(G148&gt;1,"REVIEW - matches several ledger entries","Matched"))))</f>
        <v/>
      </c>
    </row>
    <row r="149">
      <c r="A149" s="8" t="n"/>
      <c r="B149" s="9" t="n"/>
      <c r="C149" s="10" t="n"/>
      <c r="D149" s="10" t="n"/>
      <c r="E149" s="10">
        <f>N(C149)-N(D149)</f>
        <v/>
      </c>
      <c r="F149" s="9">
        <f>IF(E149=0,"",TEXT(ABS(E149),"0.00")&amp;"|"&amp;IF(E149&gt;0,"AR","AP"))</f>
        <v/>
      </c>
      <c r="G149" s="9">
        <f>IF(F149="","",COUNTIF(Ledger!$H:$H,F149))</f>
        <v/>
      </c>
      <c r="H149" s="9">
        <f>IF(F149="","",IF(COUNTIF($F:$F,F149)&gt;1,"REVIEW - same amount appears twice",IF(G149=0,"UNMATCHED - no ledger entry",IF(G149&gt;1,"REVIEW - matches several ledger entries","Matched"))))</f>
        <v/>
      </c>
    </row>
    <row r="150">
      <c r="A150" s="8" t="n"/>
      <c r="B150" s="9" t="n"/>
      <c r="C150" s="10" t="n"/>
      <c r="D150" s="10" t="n"/>
      <c r="E150" s="10">
        <f>N(C150)-N(D150)</f>
        <v/>
      </c>
      <c r="F150" s="9">
        <f>IF(E150=0,"",TEXT(ABS(E150),"0.00")&amp;"|"&amp;IF(E150&gt;0,"AR","AP"))</f>
        <v/>
      </c>
      <c r="G150" s="9">
        <f>IF(F150="","",COUNTIF(Ledger!$H:$H,F150))</f>
        <v/>
      </c>
      <c r="H150" s="9">
        <f>IF(F150="","",IF(COUNTIF($F:$F,F150)&gt;1,"REVIEW - same amount appears twice",IF(G150=0,"UNMATCHED - no ledger entry",IF(G150&gt;1,"REVIEW - matches several ledger entries","Matched"))))</f>
        <v/>
      </c>
    </row>
    <row r="151">
      <c r="A151" s="8" t="n"/>
      <c r="B151" s="9" t="n"/>
      <c r="C151" s="10" t="n"/>
      <c r="D151" s="10" t="n"/>
      <c r="E151" s="10">
        <f>N(C151)-N(D151)</f>
        <v/>
      </c>
      <c r="F151" s="9">
        <f>IF(E151=0,"",TEXT(ABS(E151),"0.00")&amp;"|"&amp;IF(E151&gt;0,"AR","AP"))</f>
        <v/>
      </c>
      <c r="G151" s="9">
        <f>IF(F151="","",COUNTIF(Ledger!$H:$H,F151))</f>
        <v/>
      </c>
      <c r="H151" s="9">
        <f>IF(F151="","",IF(COUNTIF($F:$F,F151)&gt;1,"REVIEW - same amount appears twice",IF(G151=0,"UNMATCHED - no ledger entry",IF(G151&gt;1,"REVIEW - matches several ledger entries","Matched"))))</f>
        <v/>
      </c>
    </row>
    <row r="152">
      <c r="A152" s="8" t="n"/>
      <c r="B152" s="9" t="n"/>
      <c r="C152" s="10" t="n"/>
      <c r="D152" s="10" t="n"/>
      <c r="E152" s="10">
        <f>N(C152)-N(D152)</f>
        <v/>
      </c>
      <c r="F152" s="9">
        <f>IF(E152=0,"",TEXT(ABS(E152),"0.00")&amp;"|"&amp;IF(E152&gt;0,"AR","AP"))</f>
        <v/>
      </c>
      <c r="G152" s="9">
        <f>IF(F152="","",COUNTIF(Ledger!$H:$H,F152))</f>
        <v/>
      </c>
      <c r="H152" s="9">
        <f>IF(F152="","",IF(COUNTIF($F:$F,F152)&gt;1,"REVIEW - same amount appears twice",IF(G152=0,"UNMATCHED - no ledger entry",IF(G152&gt;1,"REVIEW - matches several ledger entries","Matched"))))</f>
        <v/>
      </c>
    </row>
    <row r="153">
      <c r="A153" s="8" t="n"/>
      <c r="B153" s="9" t="n"/>
      <c r="C153" s="10" t="n"/>
      <c r="D153" s="10" t="n"/>
      <c r="E153" s="10">
        <f>N(C153)-N(D153)</f>
        <v/>
      </c>
      <c r="F153" s="9">
        <f>IF(E153=0,"",TEXT(ABS(E153),"0.00")&amp;"|"&amp;IF(E153&gt;0,"AR","AP"))</f>
        <v/>
      </c>
      <c r="G153" s="9">
        <f>IF(F153="","",COUNTIF(Ledger!$H:$H,F153))</f>
        <v/>
      </c>
      <c r="H153" s="9">
        <f>IF(F153="","",IF(COUNTIF($F:$F,F153)&gt;1,"REVIEW - same amount appears twice",IF(G153=0,"UNMATCHED - no ledger entry",IF(G153&gt;1,"REVIEW - matches several ledger entries","Matched"))))</f>
        <v/>
      </c>
    </row>
    <row r="154">
      <c r="A154" s="8" t="n"/>
      <c r="B154" s="9" t="n"/>
      <c r="C154" s="10" t="n"/>
      <c r="D154" s="10" t="n"/>
      <c r="E154" s="10">
        <f>N(C154)-N(D154)</f>
        <v/>
      </c>
      <c r="F154" s="9">
        <f>IF(E154=0,"",TEXT(ABS(E154),"0.00")&amp;"|"&amp;IF(E154&gt;0,"AR","AP"))</f>
        <v/>
      </c>
      <c r="G154" s="9">
        <f>IF(F154="","",COUNTIF(Ledger!$H:$H,F154))</f>
        <v/>
      </c>
      <c r="H154" s="9">
        <f>IF(F154="","",IF(COUNTIF($F:$F,F154)&gt;1,"REVIEW - same amount appears twice",IF(G154=0,"UNMATCHED - no ledger entry",IF(G154&gt;1,"REVIEW - matches several ledger entries","Matched"))))</f>
        <v/>
      </c>
    </row>
    <row r="155">
      <c r="A155" s="8" t="n"/>
      <c r="B155" s="9" t="n"/>
      <c r="C155" s="10" t="n"/>
      <c r="D155" s="10" t="n"/>
      <c r="E155" s="10">
        <f>N(C155)-N(D155)</f>
        <v/>
      </c>
      <c r="F155" s="9">
        <f>IF(E155=0,"",TEXT(ABS(E155),"0.00")&amp;"|"&amp;IF(E155&gt;0,"AR","AP"))</f>
        <v/>
      </c>
      <c r="G155" s="9">
        <f>IF(F155="","",COUNTIF(Ledger!$H:$H,F155))</f>
        <v/>
      </c>
      <c r="H155" s="9">
        <f>IF(F155="","",IF(COUNTIF($F:$F,F155)&gt;1,"REVIEW - same amount appears twice",IF(G155=0,"UNMATCHED - no ledger entry",IF(G155&gt;1,"REVIEW - matches several ledger entries","Matched"))))</f>
        <v/>
      </c>
    </row>
    <row r="156">
      <c r="A156" s="8" t="n"/>
      <c r="B156" s="9" t="n"/>
      <c r="C156" s="10" t="n"/>
      <c r="D156" s="10" t="n"/>
      <c r="E156" s="10">
        <f>N(C156)-N(D156)</f>
        <v/>
      </c>
      <c r="F156" s="9">
        <f>IF(E156=0,"",TEXT(ABS(E156),"0.00")&amp;"|"&amp;IF(E156&gt;0,"AR","AP"))</f>
        <v/>
      </c>
      <c r="G156" s="9">
        <f>IF(F156="","",COUNTIF(Ledger!$H:$H,F156))</f>
        <v/>
      </c>
      <c r="H156" s="9">
        <f>IF(F156="","",IF(COUNTIF($F:$F,F156)&gt;1,"REVIEW - same amount appears twice",IF(G156=0,"UNMATCHED - no ledger entry",IF(G156&gt;1,"REVIEW - matches several ledger entries","Matched"))))</f>
        <v/>
      </c>
    </row>
    <row r="157">
      <c r="A157" s="8" t="n"/>
      <c r="B157" s="9" t="n"/>
      <c r="C157" s="10" t="n"/>
      <c r="D157" s="10" t="n"/>
      <c r="E157" s="10">
        <f>N(C157)-N(D157)</f>
        <v/>
      </c>
      <c r="F157" s="9">
        <f>IF(E157=0,"",TEXT(ABS(E157),"0.00")&amp;"|"&amp;IF(E157&gt;0,"AR","AP"))</f>
        <v/>
      </c>
      <c r="G157" s="9">
        <f>IF(F157="","",COUNTIF(Ledger!$H:$H,F157))</f>
        <v/>
      </c>
      <c r="H157" s="9">
        <f>IF(F157="","",IF(COUNTIF($F:$F,F157)&gt;1,"REVIEW - same amount appears twice",IF(G157=0,"UNMATCHED - no ledger entry",IF(G157&gt;1,"REVIEW - matches several ledger entries","Matched"))))</f>
        <v/>
      </c>
    </row>
    <row r="158">
      <c r="A158" s="8" t="n"/>
      <c r="B158" s="9" t="n"/>
      <c r="C158" s="10" t="n"/>
      <c r="D158" s="10" t="n"/>
      <c r="E158" s="10">
        <f>N(C158)-N(D158)</f>
        <v/>
      </c>
      <c r="F158" s="9">
        <f>IF(E158=0,"",TEXT(ABS(E158),"0.00")&amp;"|"&amp;IF(E158&gt;0,"AR","AP"))</f>
        <v/>
      </c>
      <c r="G158" s="9">
        <f>IF(F158="","",COUNTIF(Ledger!$H:$H,F158))</f>
        <v/>
      </c>
      <c r="H158" s="9">
        <f>IF(F158="","",IF(COUNTIF($F:$F,F158)&gt;1,"REVIEW - same amount appears twice",IF(G158=0,"UNMATCHED - no ledger entry",IF(G158&gt;1,"REVIEW - matches several ledger entries","Matched"))))</f>
        <v/>
      </c>
    </row>
    <row r="159">
      <c r="A159" s="8" t="n"/>
      <c r="B159" s="9" t="n"/>
      <c r="C159" s="10" t="n"/>
      <c r="D159" s="10" t="n"/>
      <c r="E159" s="10">
        <f>N(C159)-N(D159)</f>
        <v/>
      </c>
      <c r="F159" s="9">
        <f>IF(E159=0,"",TEXT(ABS(E159),"0.00")&amp;"|"&amp;IF(E159&gt;0,"AR","AP"))</f>
        <v/>
      </c>
      <c r="G159" s="9">
        <f>IF(F159="","",COUNTIF(Ledger!$H:$H,F159))</f>
        <v/>
      </c>
      <c r="H159" s="9">
        <f>IF(F159="","",IF(COUNTIF($F:$F,F159)&gt;1,"REVIEW - same amount appears twice",IF(G159=0,"UNMATCHED - no ledger entry",IF(G159&gt;1,"REVIEW - matches several ledger entries","Matched"))))</f>
        <v/>
      </c>
    </row>
    <row r="160">
      <c r="A160" s="8" t="n"/>
      <c r="B160" s="9" t="n"/>
      <c r="C160" s="10" t="n"/>
      <c r="D160" s="10" t="n"/>
      <c r="E160" s="10">
        <f>N(C160)-N(D160)</f>
        <v/>
      </c>
      <c r="F160" s="9">
        <f>IF(E160=0,"",TEXT(ABS(E160),"0.00")&amp;"|"&amp;IF(E160&gt;0,"AR","AP"))</f>
        <v/>
      </c>
      <c r="G160" s="9">
        <f>IF(F160="","",COUNTIF(Ledger!$H:$H,F160))</f>
        <v/>
      </c>
      <c r="H160" s="9">
        <f>IF(F160="","",IF(COUNTIF($F:$F,F160)&gt;1,"REVIEW - same amount appears twice",IF(G160=0,"UNMATCHED - no ledger entry",IF(G160&gt;1,"REVIEW - matches several ledger entries","Matched"))))</f>
        <v/>
      </c>
    </row>
    <row r="161">
      <c r="A161" s="8" t="n"/>
      <c r="B161" s="9" t="n"/>
      <c r="C161" s="10" t="n"/>
      <c r="D161" s="10" t="n"/>
      <c r="E161" s="10">
        <f>N(C161)-N(D161)</f>
        <v/>
      </c>
      <c r="F161" s="9">
        <f>IF(E161=0,"",TEXT(ABS(E161),"0.00")&amp;"|"&amp;IF(E161&gt;0,"AR","AP"))</f>
        <v/>
      </c>
      <c r="G161" s="9">
        <f>IF(F161="","",COUNTIF(Ledger!$H:$H,F161))</f>
        <v/>
      </c>
      <c r="H161" s="9">
        <f>IF(F161="","",IF(COUNTIF($F:$F,F161)&gt;1,"REVIEW - same amount appears twice",IF(G161=0,"UNMATCHED - no ledger entry",IF(G161&gt;1,"REVIEW - matches several ledger entries","Matched"))))</f>
        <v/>
      </c>
    </row>
    <row r="162">
      <c r="A162" s="8" t="n"/>
      <c r="B162" s="9" t="n"/>
      <c r="C162" s="10" t="n"/>
      <c r="D162" s="10" t="n"/>
      <c r="E162" s="10">
        <f>N(C162)-N(D162)</f>
        <v/>
      </c>
      <c r="F162" s="9">
        <f>IF(E162=0,"",TEXT(ABS(E162),"0.00")&amp;"|"&amp;IF(E162&gt;0,"AR","AP"))</f>
        <v/>
      </c>
      <c r="G162" s="9">
        <f>IF(F162="","",COUNTIF(Ledger!$H:$H,F162))</f>
        <v/>
      </c>
      <c r="H162" s="9">
        <f>IF(F162="","",IF(COUNTIF($F:$F,F162)&gt;1,"REVIEW - same amount appears twice",IF(G162=0,"UNMATCHED - no ledger entry",IF(G162&gt;1,"REVIEW - matches several ledger entries","Matched"))))</f>
        <v/>
      </c>
    </row>
    <row r="163">
      <c r="A163" s="8" t="n"/>
      <c r="B163" s="9" t="n"/>
      <c r="C163" s="10" t="n"/>
      <c r="D163" s="10" t="n"/>
      <c r="E163" s="10">
        <f>N(C163)-N(D163)</f>
        <v/>
      </c>
      <c r="F163" s="9">
        <f>IF(E163=0,"",TEXT(ABS(E163),"0.00")&amp;"|"&amp;IF(E163&gt;0,"AR","AP"))</f>
        <v/>
      </c>
      <c r="G163" s="9">
        <f>IF(F163="","",COUNTIF(Ledger!$H:$H,F163))</f>
        <v/>
      </c>
      <c r="H163" s="9">
        <f>IF(F163="","",IF(COUNTIF($F:$F,F163)&gt;1,"REVIEW - same amount appears twice",IF(G163=0,"UNMATCHED - no ledger entry",IF(G163&gt;1,"REVIEW - matches several ledger entries","Matched"))))</f>
        <v/>
      </c>
    </row>
    <row r="164">
      <c r="A164" s="8" t="n"/>
      <c r="B164" s="9" t="n"/>
      <c r="C164" s="10" t="n"/>
      <c r="D164" s="10" t="n"/>
      <c r="E164" s="10">
        <f>N(C164)-N(D164)</f>
        <v/>
      </c>
      <c r="F164" s="9">
        <f>IF(E164=0,"",TEXT(ABS(E164),"0.00")&amp;"|"&amp;IF(E164&gt;0,"AR","AP"))</f>
        <v/>
      </c>
      <c r="G164" s="9">
        <f>IF(F164="","",COUNTIF(Ledger!$H:$H,F164))</f>
        <v/>
      </c>
      <c r="H164" s="9">
        <f>IF(F164="","",IF(COUNTIF($F:$F,F164)&gt;1,"REVIEW - same amount appears twice",IF(G164=0,"UNMATCHED - no ledger entry",IF(G164&gt;1,"REVIEW - matches several ledger entries","Matched"))))</f>
        <v/>
      </c>
    </row>
    <row r="165">
      <c r="A165" s="8" t="n"/>
      <c r="B165" s="9" t="n"/>
      <c r="C165" s="10" t="n"/>
      <c r="D165" s="10" t="n"/>
      <c r="E165" s="10">
        <f>N(C165)-N(D165)</f>
        <v/>
      </c>
      <c r="F165" s="9">
        <f>IF(E165=0,"",TEXT(ABS(E165),"0.00")&amp;"|"&amp;IF(E165&gt;0,"AR","AP"))</f>
        <v/>
      </c>
      <c r="G165" s="9">
        <f>IF(F165="","",COUNTIF(Ledger!$H:$H,F165))</f>
        <v/>
      </c>
      <c r="H165" s="9">
        <f>IF(F165="","",IF(COUNTIF($F:$F,F165)&gt;1,"REVIEW - same amount appears twice",IF(G165=0,"UNMATCHED - no ledger entry",IF(G165&gt;1,"REVIEW - matches several ledger entries","Matched"))))</f>
        <v/>
      </c>
    </row>
    <row r="166">
      <c r="A166" s="8" t="n"/>
      <c r="B166" s="9" t="n"/>
      <c r="C166" s="10" t="n"/>
      <c r="D166" s="10" t="n"/>
      <c r="E166" s="10">
        <f>N(C166)-N(D166)</f>
        <v/>
      </c>
      <c r="F166" s="9">
        <f>IF(E166=0,"",TEXT(ABS(E166),"0.00")&amp;"|"&amp;IF(E166&gt;0,"AR","AP"))</f>
        <v/>
      </c>
      <c r="G166" s="9">
        <f>IF(F166="","",COUNTIF(Ledger!$H:$H,F166))</f>
        <v/>
      </c>
      <c r="H166" s="9">
        <f>IF(F166="","",IF(COUNTIF($F:$F,F166)&gt;1,"REVIEW - same amount appears twice",IF(G166=0,"UNMATCHED - no ledger entry",IF(G166&gt;1,"REVIEW - matches several ledger entries","Matched"))))</f>
        <v/>
      </c>
    </row>
    <row r="167">
      <c r="A167" s="8" t="n"/>
      <c r="B167" s="9" t="n"/>
      <c r="C167" s="10" t="n"/>
      <c r="D167" s="10" t="n"/>
      <c r="E167" s="10">
        <f>N(C167)-N(D167)</f>
        <v/>
      </c>
      <c r="F167" s="9">
        <f>IF(E167=0,"",TEXT(ABS(E167),"0.00")&amp;"|"&amp;IF(E167&gt;0,"AR","AP"))</f>
        <v/>
      </c>
      <c r="G167" s="9">
        <f>IF(F167="","",COUNTIF(Ledger!$H:$H,F167))</f>
        <v/>
      </c>
      <c r="H167" s="9">
        <f>IF(F167="","",IF(COUNTIF($F:$F,F167)&gt;1,"REVIEW - same amount appears twice",IF(G167=0,"UNMATCHED - no ledger entry",IF(G167&gt;1,"REVIEW - matches several ledger entries","Matched"))))</f>
        <v/>
      </c>
    </row>
    <row r="168">
      <c r="A168" s="8" t="n"/>
      <c r="B168" s="9" t="n"/>
      <c r="C168" s="10" t="n"/>
      <c r="D168" s="10" t="n"/>
      <c r="E168" s="10">
        <f>N(C168)-N(D168)</f>
        <v/>
      </c>
      <c r="F168" s="9">
        <f>IF(E168=0,"",TEXT(ABS(E168),"0.00")&amp;"|"&amp;IF(E168&gt;0,"AR","AP"))</f>
        <v/>
      </c>
      <c r="G168" s="9">
        <f>IF(F168="","",COUNTIF(Ledger!$H:$H,F168))</f>
        <v/>
      </c>
      <c r="H168" s="9">
        <f>IF(F168="","",IF(COUNTIF($F:$F,F168)&gt;1,"REVIEW - same amount appears twice",IF(G168=0,"UNMATCHED - no ledger entry",IF(G168&gt;1,"REVIEW - matches several ledger entries","Matched"))))</f>
        <v/>
      </c>
    </row>
    <row r="169">
      <c r="A169" s="8" t="n"/>
      <c r="B169" s="9" t="n"/>
      <c r="C169" s="10" t="n"/>
      <c r="D169" s="10" t="n"/>
      <c r="E169" s="10">
        <f>N(C169)-N(D169)</f>
        <v/>
      </c>
      <c r="F169" s="9">
        <f>IF(E169=0,"",TEXT(ABS(E169),"0.00")&amp;"|"&amp;IF(E169&gt;0,"AR","AP"))</f>
        <v/>
      </c>
      <c r="G169" s="9">
        <f>IF(F169="","",COUNTIF(Ledger!$H:$H,F169))</f>
        <v/>
      </c>
      <c r="H169" s="9">
        <f>IF(F169="","",IF(COUNTIF($F:$F,F169)&gt;1,"REVIEW - same amount appears twice",IF(G169=0,"UNMATCHED - no ledger entry",IF(G169&gt;1,"REVIEW - matches several ledger entries","Matched"))))</f>
        <v/>
      </c>
    </row>
    <row r="170">
      <c r="A170" s="8" t="n"/>
      <c r="B170" s="9" t="n"/>
      <c r="C170" s="10" t="n"/>
      <c r="D170" s="10" t="n"/>
      <c r="E170" s="10">
        <f>N(C170)-N(D170)</f>
        <v/>
      </c>
      <c r="F170" s="9">
        <f>IF(E170=0,"",TEXT(ABS(E170),"0.00")&amp;"|"&amp;IF(E170&gt;0,"AR","AP"))</f>
        <v/>
      </c>
      <c r="G170" s="9">
        <f>IF(F170="","",COUNTIF(Ledger!$H:$H,F170))</f>
        <v/>
      </c>
      <c r="H170" s="9">
        <f>IF(F170="","",IF(COUNTIF($F:$F,F170)&gt;1,"REVIEW - same amount appears twice",IF(G170=0,"UNMATCHED - no ledger entry",IF(G170&gt;1,"REVIEW - matches several ledger entries","Matched"))))</f>
        <v/>
      </c>
    </row>
    <row r="171">
      <c r="A171" s="8" t="n"/>
      <c r="B171" s="9" t="n"/>
      <c r="C171" s="10" t="n"/>
      <c r="D171" s="10" t="n"/>
      <c r="E171" s="10">
        <f>N(C171)-N(D171)</f>
        <v/>
      </c>
      <c r="F171" s="9">
        <f>IF(E171=0,"",TEXT(ABS(E171),"0.00")&amp;"|"&amp;IF(E171&gt;0,"AR","AP"))</f>
        <v/>
      </c>
      <c r="G171" s="9">
        <f>IF(F171="","",COUNTIF(Ledger!$H:$H,F171))</f>
        <v/>
      </c>
      <c r="H171" s="9">
        <f>IF(F171="","",IF(COUNTIF($F:$F,F171)&gt;1,"REVIEW - same amount appears twice",IF(G171=0,"UNMATCHED - no ledger entry",IF(G171&gt;1,"REVIEW - matches several ledger entries","Matched"))))</f>
        <v/>
      </c>
    </row>
    <row r="172">
      <c r="A172" s="8" t="n"/>
      <c r="B172" s="9" t="n"/>
      <c r="C172" s="10" t="n"/>
      <c r="D172" s="10" t="n"/>
      <c r="E172" s="10">
        <f>N(C172)-N(D172)</f>
        <v/>
      </c>
      <c r="F172" s="9">
        <f>IF(E172=0,"",TEXT(ABS(E172),"0.00")&amp;"|"&amp;IF(E172&gt;0,"AR","AP"))</f>
        <v/>
      </c>
      <c r="G172" s="9">
        <f>IF(F172="","",COUNTIF(Ledger!$H:$H,F172))</f>
        <v/>
      </c>
      <c r="H172" s="9">
        <f>IF(F172="","",IF(COUNTIF($F:$F,F172)&gt;1,"REVIEW - same amount appears twice",IF(G172=0,"UNMATCHED - no ledger entry",IF(G172&gt;1,"REVIEW - matches several ledger entries","Matched"))))</f>
        <v/>
      </c>
    </row>
    <row r="173">
      <c r="A173" s="8" t="n"/>
      <c r="B173" s="9" t="n"/>
      <c r="C173" s="10" t="n"/>
      <c r="D173" s="10" t="n"/>
      <c r="E173" s="10">
        <f>N(C173)-N(D173)</f>
        <v/>
      </c>
      <c r="F173" s="9">
        <f>IF(E173=0,"",TEXT(ABS(E173),"0.00")&amp;"|"&amp;IF(E173&gt;0,"AR","AP"))</f>
        <v/>
      </c>
      <c r="G173" s="9">
        <f>IF(F173="","",COUNTIF(Ledger!$H:$H,F173))</f>
        <v/>
      </c>
      <c r="H173" s="9">
        <f>IF(F173="","",IF(COUNTIF($F:$F,F173)&gt;1,"REVIEW - same amount appears twice",IF(G173=0,"UNMATCHED - no ledger entry",IF(G173&gt;1,"REVIEW - matches several ledger entries","Matched"))))</f>
        <v/>
      </c>
    </row>
    <row r="174">
      <c r="A174" s="8" t="n"/>
      <c r="B174" s="9" t="n"/>
      <c r="C174" s="10" t="n"/>
      <c r="D174" s="10" t="n"/>
      <c r="E174" s="10">
        <f>N(C174)-N(D174)</f>
        <v/>
      </c>
      <c r="F174" s="9">
        <f>IF(E174=0,"",TEXT(ABS(E174),"0.00")&amp;"|"&amp;IF(E174&gt;0,"AR","AP"))</f>
        <v/>
      </c>
      <c r="G174" s="9">
        <f>IF(F174="","",COUNTIF(Ledger!$H:$H,F174))</f>
        <v/>
      </c>
      <c r="H174" s="9">
        <f>IF(F174="","",IF(COUNTIF($F:$F,F174)&gt;1,"REVIEW - same amount appears twice",IF(G174=0,"UNMATCHED - no ledger entry",IF(G174&gt;1,"REVIEW - matches several ledger entries","Matched"))))</f>
        <v/>
      </c>
    </row>
    <row r="175">
      <c r="A175" s="8" t="n"/>
      <c r="B175" s="9" t="n"/>
      <c r="C175" s="10" t="n"/>
      <c r="D175" s="10" t="n"/>
      <c r="E175" s="10">
        <f>N(C175)-N(D175)</f>
        <v/>
      </c>
      <c r="F175" s="9">
        <f>IF(E175=0,"",TEXT(ABS(E175),"0.00")&amp;"|"&amp;IF(E175&gt;0,"AR","AP"))</f>
        <v/>
      </c>
      <c r="G175" s="9">
        <f>IF(F175="","",COUNTIF(Ledger!$H:$H,F175))</f>
        <v/>
      </c>
      <c r="H175" s="9">
        <f>IF(F175="","",IF(COUNTIF($F:$F,F175)&gt;1,"REVIEW - same amount appears twice",IF(G175=0,"UNMATCHED - no ledger entry",IF(G175&gt;1,"REVIEW - matches several ledger entries","Matched"))))</f>
        <v/>
      </c>
    </row>
    <row r="176">
      <c r="A176" s="8" t="n"/>
      <c r="B176" s="9" t="n"/>
      <c r="C176" s="10" t="n"/>
      <c r="D176" s="10" t="n"/>
      <c r="E176" s="10">
        <f>N(C176)-N(D176)</f>
        <v/>
      </c>
      <c r="F176" s="9">
        <f>IF(E176=0,"",TEXT(ABS(E176),"0.00")&amp;"|"&amp;IF(E176&gt;0,"AR","AP"))</f>
        <v/>
      </c>
      <c r="G176" s="9">
        <f>IF(F176="","",COUNTIF(Ledger!$H:$H,F176))</f>
        <v/>
      </c>
      <c r="H176" s="9">
        <f>IF(F176="","",IF(COUNTIF($F:$F,F176)&gt;1,"REVIEW - same amount appears twice",IF(G176=0,"UNMATCHED - no ledger entry",IF(G176&gt;1,"REVIEW - matches several ledger entries","Matched"))))</f>
        <v/>
      </c>
    </row>
    <row r="177">
      <c r="A177" s="8" t="n"/>
      <c r="B177" s="9" t="n"/>
      <c r="C177" s="10" t="n"/>
      <c r="D177" s="10" t="n"/>
      <c r="E177" s="10">
        <f>N(C177)-N(D177)</f>
        <v/>
      </c>
      <c r="F177" s="9">
        <f>IF(E177=0,"",TEXT(ABS(E177),"0.00")&amp;"|"&amp;IF(E177&gt;0,"AR","AP"))</f>
        <v/>
      </c>
      <c r="G177" s="9">
        <f>IF(F177="","",COUNTIF(Ledger!$H:$H,F177))</f>
        <v/>
      </c>
      <c r="H177" s="9">
        <f>IF(F177="","",IF(COUNTIF($F:$F,F177)&gt;1,"REVIEW - same amount appears twice",IF(G177=0,"UNMATCHED - no ledger entry",IF(G177&gt;1,"REVIEW - matches several ledger entries","Matched"))))</f>
        <v/>
      </c>
    </row>
    <row r="178">
      <c r="A178" s="8" t="n"/>
      <c r="B178" s="9" t="n"/>
      <c r="C178" s="10" t="n"/>
      <c r="D178" s="10" t="n"/>
      <c r="E178" s="10">
        <f>N(C178)-N(D178)</f>
        <v/>
      </c>
      <c r="F178" s="9">
        <f>IF(E178=0,"",TEXT(ABS(E178),"0.00")&amp;"|"&amp;IF(E178&gt;0,"AR","AP"))</f>
        <v/>
      </c>
      <c r="G178" s="9">
        <f>IF(F178="","",COUNTIF(Ledger!$H:$H,F178))</f>
        <v/>
      </c>
      <c r="H178" s="9">
        <f>IF(F178="","",IF(COUNTIF($F:$F,F178)&gt;1,"REVIEW - same amount appears twice",IF(G178=0,"UNMATCHED - no ledger entry",IF(G178&gt;1,"REVIEW - matches several ledger entries","Matched"))))</f>
        <v/>
      </c>
    </row>
    <row r="179">
      <c r="A179" s="8" t="n"/>
      <c r="B179" s="9" t="n"/>
      <c r="C179" s="10" t="n"/>
      <c r="D179" s="10" t="n"/>
      <c r="E179" s="10">
        <f>N(C179)-N(D179)</f>
        <v/>
      </c>
      <c r="F179" s="9">
        <f>IF(E179=0,"",TEXT(ABS(E179),"0.00")&amp;"|"&amp;IF(E179&gt;0,"AR","AP"))</f>
        <v/>
      </c>
      <c r="G179" s="9">
        <f>IF(F179="","",COUNTIF(Ledger!$H:$H,F179))</f>
        <v/>
      </c>
      <c r="H179" s="9">
        <f>IF(F179="","",IF(COUNTIF($F:$F,F179)&gt;1,"REVIEW - same amount appears twice",IF(G179=0,"UNMATCHED - no ledger entry",IF(G179&gt;1,"REVIEW - matches several ledger entries","Matched"))))</f>
        <v/>
      </c>
    </row>
    <row r="180">
      <c r="A180" s="8" t="n"/>
      <c r="B180" s="9" t="n"/>
      <c r="C180" s="10" t="n"/>
      <c r="D180" s="10" t="n"/>
      <c r="E180" s="10">
        <f>N(C180)-N(D180)</f>
        <v/>
      </c>
      <c r="F180" s="9">
        <f>IF(E180=0,"",TEXT(ABS(E180),"0.00")&amp;"|"&amp;IF(E180&gt;0,"AR","AP"))</f>
        <v/>
      </c>
      <c r="G180" s="9">
        <f>IF(F180="","",COUNTIF(Ledger!$H:$H,F180))</f>
        <v/>
      </c>
      <c r="H180" s="9">
        <f>IF(F180="","",IF(COUNTIF($F:$F,F180)&gt;1,"REVIEW - same amount appears twice",IF(G180=0,"UNMATCHED - no ledger entry",IF(G180&gt;1,"REVIEW - matches several ledger entries","Matched"))))</f>
        <v/>
      </c>
    </row>
    <row r="181">
      <c r="A181" s="8" t="n"/>
      <c r="B181" s="9" t="n"/>
      <c r="C181" s="10" t="n"/>
      <c r="D181" s="10" t="n"/>
      <c r="E181" s="10">
        <f>N(C181)-N(D181)</f>
        <v/>
      </c>
      <c r="F181" s="9">
        <f>IF(E181=0,"",TEXT(ABS(E181),"0.00")&amp;"|"&amp;IF(E181&gt;0,"AR","AP"))</f>
        <v/>
      </c>
      <c r="G181" s="9">
        <f>IF(F181="","",COUNTIF(Ledger!$H:$H,F181))</f>
        <v/>
      </c>
      <c r="H181" s="9">
        <f>IF(F181="","",IF(COUNTIF($F:$F,F181)&gt;1,"REVIEW - same amount appears twice",IF(G181=0,"UNMATCHED - no ledger entry",IF(G181&gt;1,"REVIEW - matches several ledger entries","Matched"))))</f>
        <v/>
      </c>
    </row>
    <row r="182">
      <c r="A182" s="8" t="n"/>
      <c r="B182" s="9" t="n"/>
      <c r="C182" s="10" t="n"/>
      <c r="D182" s="10" t="n"/>
      <c r="E182" s="10">
        <f>N(C182)-N(D182)</f>
        <v/>
      </c>
      <c r="F182" s="9">
        <f>IF(E182=0,"",TEXT(ABS(E182),"0.00")&amp;"|"&amp;IF(E182&gt;0,"AR","AP"))</f>
        <v/>
      </c>
      <c r="G182" s="9">
        <f>IF(F182="","",COUNTIF(Ledger!$H:$H,F182))</f>
        <v/>
      </c>
      <c r="H182" s="9">
        <f>IF(F182="","",IF(COUNTIF($F:$F,F182)&gt;1,"REVIEW - same amount appears twice",IF(G182=0,"UNMATCHED - no ledger entry",IF(G182&gt;1,"REVIEW - matches several ledger entries","Matched"))))</f>
        <v/>
      </c>
    </row>
    <row r="183">
      <c r="A183" s="8" t="n"/>
      <c r="B183" s="9" t="n"/>
      <c r="C183" s="10" t="n"/>
      <c r="D183" s="10" t="n"/>
      <c r="E183" s="10">
        <f>N(C183)-N(D183)</f>
        <v/>
      </c>
      <c r="F183" s="9">
        <f>IF(E183=0,"",TEXT(ABS(E183),"0.00")&amp;"|"&amp;IF(E183&gt;0,"AR","AP"))</f>
        <v/>
      </c>
      <c r="G183" s="9">
        <f>IF(F183="","",COUNTIF(Ledger!$H:$H,F183))</f>
        <v/>
      </c>
      <c r="H183" s="9">
        <f>IF(F183="","",IF(COUNTIF($F:$F,F183)&gt;1,"REVIEW - same amount appears twice",IF(G183=0,"UNMATCHED - no ledger entry",IF(G183&gt;1,"REVIEW - matches several ledger entries","Matched"))))</f>
        <v/>
      </c>
    </row>
    <row r="184">
      <c r="A184" s="8" t="n"/>
      <c r="B184" s="9" t="n"/>
      <c r="C184" s="10" t="n"/>
      <c r="D184" s="10" t="n"/>
      <c r="E184" s="10">
        <f>N(C184)-N(D184)</f>
        <v/>
      </c>
      <c r="F184" s="9">
        <f>IF(E184=0,"",TEXT(ABS(E184),"0.00")&amp;"|"&amp;IF(E184&gt;0,"AR","AP"))</f>
        <v/>
      </c>
      <c r="G184" s="9">
        <f>IF(F184="","",COUNTIF(Ledger!$H:$H,F184))</f>
        <v/>
      </c>
      <c r="H184" s="9">
        <f>IF(F184="","",IF(COUNTIF($F:$F,F184)&gt;1,"REVIEW - same amount appears twice",IF(G184=0,"UNMATCHED - no ledger entry",IF(G184&gt;1,"REVIEW - matches several ledger entries","Matched"))))</f>
        <v/>
      </c>
    </row>
    <row r="185">
      <c r="A185" s="8" t="n"/>
      <c r="B185" s="9" t="n"/>
      <c r="C185" s="10" t="n"/>
      <c r="D185" s="10" t="n"/>
      <c r="E185" s="10">
        <f>N(C185)-N(D185)</f>
        <v/>
      </c>
      <c r="F185" s="9">
        <f>IF(E185=0,"",TEXT(ABS(E185),"0.00")&amp;"|"&amp;IF(E185&gt;0,"AR","AP"))</f>
        <v/>
      </c>
      <c r="G185" s="9">
        <f>IF(F185="","",COUNTIF(Ledger!$H:$H,F185))</f>
        <v/>
      </c>
      <c r="H185" s="9">
        <f>IF(F185="","",IF(COUNTIF($F:$F,F185)&gt;1,"REVIEW - same amount appears twice",IF(G185=0,"UNMATCHED - no ledger entry",IF(G185&gt;1,"REVIEW - matches several ledger entries","Matched"))))</f>
        <v/>
      </c>
    </row>
    <row r="186">
      <c r="A186" s="8" t="n"/>
      <c r="B186" s="9" t="n"/>
      <c r="C186" s="10" t="n"/>
      <c r="D186" s="10" t="n"/>
      <c r="E186" s="10">
        <f>N(C186)-N(D186)</f>
        <v/>
      </c>
      <c r="F186" s="9">
        <f>IF(E186=0,"",TEXT(ABS(E186),"0.00")&amp;"|"&amp;IF(E186&gt;0,"AR","AP"))</f>
        <v/>
      </c>
      <c r="G186" s="9">
        <f>IF(F186="","",COUNTIF(Ledger!$H:$H,F186))</f>
        <v/>
      </c>
      <c r="H186" s="9">
        <f>IF(F186="","",IF(COUNTIF($F:$F,F186)&gt;1,"REVIEW - same amount appears twice",IF(G186=0,"UNMATCHED - no ledger entry",IF(G186&gt;1,"REVIEW - matches several ledger entries","Matched"))))</f>
        <v/>
      </c>
    </row>
    <row r="187">
      <c r="A187" s="8" t="n"/>
      <c r="B187" s="9" t="n"/>
      <c r="C187" s="10" t="n"/>
      <c r="D187" s="10" t="n"/>
      <c r="E187" s="10">
        <f>N(C187)-N(D187)</f>
        <v/>
      </c>
      <c r="F187" s="9">
        <f>IF(E187=0,"",TEXT(ABS(E187),"0.00")&amp;"|"&amp;IF(E187&gt;0,"AR","AP"))</f>
        <v/>
      </c>
      <c r="G187" s="9">
        <f>IF(F187="","",COUNTIF(Ledger!$H:$H,F187))</f>
        <v/>
      </c>
      <c r="H187" s="9">
        <f>IF(F187="","",IF(COUNTIF($F:$F,F187)&gt;1,"REVIEW - same amount appears twice",IF(G187=0,"UNMATCHED - no ledger entry",IF(G187&gt;1,"REVIEW - matches several ledger entries","Matched"))))</f>
        <v/>
      </c>
    </row>
    <row r="188">
      <c r="A188" s="8" t="n"/>
      <c r="B188" s="9" t="n"/>
      <c r="C188" s="10" t="n"/>
      <c r="D188" s="10" t="n"/>
      <c r="E188" s="10">
        <f>N(C188)-N(D188)</f>
        <v/>
      </c>
      <c r="F188" s="9">
        <f>IF(E188=0,"",TEXT(ABS(E188),"0.00")&amp;"|"&amp;IF(E188&gt;0,"AR","AP"))</f>
        <v/>
      </c>
      <c r="G188" s="9">
        <f>IF(F188="","",COUNTIF(Ledger!$H:$H,F188))</f>
        <v/>
      </c>
      <c r="H188" s="9">
        <f>IF(F188="","",IF(COUNTIF($F:$F,F188)&gt;1,"REVIEW - same amount appears twice",IF(G188=0,"UNMATCHED - no ledger entry",IF(G188&gt;1,"REVIEW - matches several ledger entries","Matched"))))</f>
        <v/>
      </c>
    </row>
    <row r="189">
      <c r="A189" s="8" t="n"/>
      <c r="B189" s="9" t="n"/>
      <c r="C189" s="10" t="n"/>
      <c r="D189" s="10" t="n"/>
      <c r="E189" s="10">
        <f>N(C189)-N(D189)</f>
        <v/>
      </c>
      <c r="F189" s="9">
        <f>IF(E189=0,"",TEXT(ABS(E189),"0.00")&amp;"|"&amp;IF(E189&gt;0,"AR","AP"))</f>
        <v/>
      </c>
      <c r="G189" s="9">
        <f>IF(F189="","",COUNTIF(Ledger!$H:$H,F189))</f>
        <v/>
      </c>
      <c r="H189" s="9">
        <f>IF(F189="","",IF(COUNTIF($F:$F,F189)&gt;1,"REVIEW - same amount appears twice",IF(G189=0,"UNMATCHED - no ledger entry",IF(G189&gt;1,"REVIEW - matches several ledger entries","Matched"))))</f>
        <v/>
      </c>
    </row>
    <row r="190">
      <c r="A190" s="8" t="n"/>
      <c r="B190" s="9" t="n"/>
      <c r="C190" s="10" t="n"/>
      <c r="D190" s="10" t="n"/>
      <c r="E190" s="10">
        <f>N(C190)-N(D190)</f>
        <v/>
      </c>
      <c r="F190" s="9">
        <f>IF(E190=0,"",TEXT(ABS(E190),"0.00")&amp;"|"&amp;IF(E190&gt;0,"AR","AP"))</f>
        <v/>
      </c>
      <c r="G190" s="9">
        <f>IF(F190="","",COUNTIF(Ledger!$H:$H,F190))</f>
        <v/>
      </c>
      <c r="H190" s="9">
        <f>IF(F190="","",IF(COUNTIF($F:$F,F190)&gt;1,"REVIEW - same amount appears twice",IF(G190=0,"UNMATCHED - no ledger entry",IF(G190&gt;1,"REVIEW - matches several ledger entries","Matched"))))</f>
        <v/>
      </c>
    </row>
    <row r="191">
      <c r="A191" s="8" t="n"/>
      <c r="B191" s="9" t="n"/>
      <c r="C191" s="10" t="n"/>
      <c r="D191" s="10" t="n"/>
      <c r="E191" s="10">
        <f>N(C191)-N(D191)</f>
        <v/>
      </c>
      <c r="F191" s="9">
        <f>IF(E191=0,"",TEXT(ABS(E191),"0.00")&amp;"|"&amp;IF(E191&gt;0,"AR","AP"))</f>
        <v/>
      </c>
      <c r="G191" s="9">
        <f>IF(F191="","",COUNTIF(Ledger!$H:$H,F191))</f>
        <v/>
      </c>
      <c r="H191" s="9">
        <f>IF(F191="","",IF(COUNTIF($F:$F,F191)&gt;1,"REVIEW - same amount appears twice",IF(G191=0,"UNMATCHED - no ledger entry",IF(G191&gt;1,"REVIEW - matches several ledger entries","Matched"))))</f>
        <v/>
      </c>
    </row>
    <row r="192">
      <c r="A192" s="8" t="n"/>
      <c r="B192" s="9" t="n"/>
      <c r="C192" s="10" t="n"/>
      <c r="D192" s="10" t="n"/>
      <c r="E192" s="10">
        <f>N(C192)-N(D192)</f>
        <v/>
      </c>
      <c r="F192" s="9">
        <f>IF(E192=0,"",TEXT(ABS(E192),"0.00")&amp;"|"&amp;IF(E192&gt;0,"AR","AP"))</f>
        <v/>
      </c>
      <c r="G192" s="9">
        <f>IF(F192="","",COUNTIF(Ledger!$H:$H,F192))</f>
        <v/>
      </c>
      <c r="H192" s="9">
        <f>IF(F192="","",IF(COUNTIF($F:$F,F192)&gt;1,"REVIEW - same amount appears twice",IF(G192=0,"UNMATCHED - no ledger entry",IF(G192&gt;1,"REVIEW - matches several ledger entries","Matched"))))</f>
        <v/>
      </c>
    </row>
    <row r="193">
      <c r="A193" s="8" t="n"/>
      <c r="B193" s="9" t="n"/>
      <c r="C193" s="10" t="n"/>
      <c r="D193" s="10" t="n"/>
      <c r="E193" s="10">
        <f>N(C193)-N(D193)</f>
        <v/>
      </c>
      <c r="F193" s="9">
        <f>IF(E193=0,"",TEXT(ABS(E193),"0.00")&amp;"|"&amp;IF(E193&gt;0,"AR","AP"))</f>
        <v/>
      </c>
      <c r="G193" s="9">
        <f>IF(F193="","",COUNTIF(Ledger!$H:$H,F193))</f>
        <v/>
      </c>
      <c r="H193" s="9">
        <f>IF(F193="","",IF(COUNTIF($F:$F,F193)&gt;1,"REVIEW - same amount appears twice",IF(G193=0,"UNMATCHED - no ledger entry",IF(G193&gt;1,"REVIEW - matches several ledger entries","Matched"))))</f>
        <v/>
      </c>
    </row>
    <row r="194">
      <c r="A194" s="8" t="n"/>
      <c r="B194" s="9" t="n"/>
      <c r="C194" s="10" t="n"/>
      <c r="D194" s="10" t="n"/>
      <c r="E194" s="10">
        <f>N(C194)-N(D194)</f>
        <v/>
      </c>
      <c r="F194" s="9">
        <f>IF(E194=0,"",TEXT(ABS(E194),"0.00")&amp;"|"&amp;IF(E194&gt;0,"AR","AP"))</f>
        <v/>
      </c>
      <c r="G194" s="9">
        <f>IF(F194="","",COUNTIF(Ledger!$H:$H,F194))</f>
        <v/>
      </c>
      <c r="H194" s="9">
        <f>IF(F194="","",IF(COUNTIF($F:$F,F194)&gt;1,"REVIEW - same amount appears twice",IF(G194=0,"UNMATCHED - no ledger entry",IF(G194&gt;1,"REVIEW - matches several ledger entries","Matched"))))</f>
        <v/>
      </c>
    </row>
    <row r="195">
      <c r="A195" s="8" t="n"/>
      <c r="B195" s="9" t="n"/>
      <c r="C195" s="10" t="n"/>
      <c r="D195" s="10" t="n"/>
      <c r="E195" s="10">
        <f>N(C195)-N(D195)</f>
        <v/>
      </c>
      <c r="F195" s="9">
        <f>IF(E195=0,"",TEXT(ABS(E195),"0.00")&amp;"|"&amp;IF(E195&gt;0,"AR","AP"))</f>
        <v/>
      </c>
      <c r="G195" s="9">
        <f>IF(F195="","",COUNTIF(Ledger!$H:$H,F195))</f>
        <v/>
      </c>
      <c r="H195" s="9">
        <f>IF(F195="","",IF(COUNTIF($F:$F,F195)&gt;1,"REVIEW - same amount appears twice",IF(G195=0,"UNMATCHED - no ledger entry",IF(G195&gt;1,"REVIEW - matches several ledger entries","Matched"))))</f>
        <v/>
      </c>
    </row>
    <row r="196">
      <c r="A196" s="8" t="n"/>
      <c r="B196" s="9" t="n"/>
      <c r="C196" s="10" t="n"/>
      <c r="D196" s="10" t="n"/>
      <c r="E196" s="10">
        <f>N(C196)-N(D196)</f>
        <v/>
      </c>
      <c r="F196" s="9">
        <f>IF(E196=0,"",TEXT(ABS(E196),"0.00")&amp;"|"&amp;IF(E196&gt;0,"AR","AP"))</f>
        <v/>
      </c>
      <c r="G196" s="9">
        <f>IF(F196="","",COUNTIF(Ledger!$H:$H,F196))</f>
        <v/>
      </c>
      <c r="H196" s="9">
        <f>IF(F196="","",IF(COUNTIF($F:$F,F196)&gt;1,"REVIEW - same amount appears twice",IF(G196=0,"UNMATCHED - no ledger entry",IF(G196&gt;1,"REVIEW - matches several ledger entries","Matched"))))</f>
        <v/>
      </c>
    </row>
    <row r="197">
      <c r="A197" s="8" t="n"/>
      <c r="B197" s="9" t="n"/>
      <c r="C197" s="10" t="n"/>
      <c r="D197" s="10" t="n"/>
      <c r="E197" s="10">
        <f>N(C197)-N(D197)</f>
        <v/>
      </c>
      <c r="F197" s="9">
        <f>IF(E197=0,"",TEXT(ABS(E197),"0.00")&amp;"|"&amp;IF(E197&gt;0,"AR","AP"))</f>
        <v/>
      </c>
      <c r="G197" s="9">
        <f>IF(F197="","",COUNTIF(Ledger!$H:$H,F197))</f>
        <v/>
      </c>
      <c r="H197" s="9">
        <f>IF(F197="","",IF(COUNTIF($F:$F,F197)&gt;1,"REVIEW - same amount appears twice",IF(G197=0,"UNMATCHED - no ledger entry",IF(G197&gt;1,"REVIEW - matches several ledger entries","Matched"))))</f>
        <v/>
      </c>
    </row>
    <row r="198">
      <c r="A198" s="8" t="n"/>
      <c r="B198" s="9" t="n"/>
      <c r="C198" s="10" t="n"/>
      <c r="D198" s="10" t="n"/>
      <c r="E198" s="10">
        <f>N(C198)-N(D198)</f>
        <v/>
      </c>
      <c r="F198" s="9">
        <f>IF(E198=0,"",TEXT(ABS(E198),"0.00")&amp;"|"&amp;IF(E198&gt;0,"AR","AP"))</f>
        <v/>
      </c>
      <c r="G198" s="9">
        <f>IF(F198="","",COUNTIF(Ledger!$H:$H,F198))</f>
        <v/>
      </c>
      <c r="H198" s="9">
        <f>IF(F198="","",IF(COUNTIF($F:$F,F198)&gt;1,"REVIEW - same amount appears twice",IF(G198=0,"UNMATCHED - no ledger entry",IF(G198&gt;1,"REVIEW - matches several ledger entries","Matched"))))</f>
        <v/>
      </c>
    </row>
    <row r="199">
      <c r="A199" s="8" t="n"/>
      <c r="B199" s="9" t="n"/>
      <c r="C199" s="10" t="n"/>
      <c r="D199" s="10" t="n"/>
      <c r="E199" s="10">
        <f>N(C199)-N(D199)</f>
        <v/>
      </c>
      <c r="F199" s="9">
        <f>IF(E199=0,"",TEXT(ABS(E199),"0.00")&amp;"|"&amp;IF(E199&gt;0,"AR","AP"))</f>
        <v/>
      </c>
      <c r="G199" s="9">
        <f>IF(F199="","",COUNTIF(Ledger!$H:$H,F199))</f>
        <v/>
      </c>
      <c r="H199" s="9">
        <f>IF(F199="","",IF(COUNTIF($F:$F,F199)&gt;1,"REVIEW - same amount appears twice",IF(G199=0,"UNMATCHED - no ledger entry",IF(G199&gt;1,"REVIEW - matches several ledger entries","Matched"))))</f>
        <v/>
      </c>
    </row>
    <row r="200">
      <c r="A200" s="8" t="n"/>
      <c r="B200" s="9" t="n"/>
      <c r="C200" s="10" t="n"/>
      <c r="D200" s="10" t="n"/>
      <c r="E200" s="10">
        <f>N(C200)-N(D200)</f>
        <v/>
      </c>
      <c r="F200" s="9">
        <f>IF(E200=0,"",TEXT(ABS(E200),"0.00")&amp;"|"&amp;IF(E200&gt;0,"AR","AP"))</f>
        <v/>
      </c>
      <c r="G200" s="9">
        <f>IF(F200="","",COUNTIF(Ledger!$H:$H,F200))</f>
        <v/>
      </c>
      <c r="H200" s="9">
        <f>IF(F200="","",IF(COUNTIF($F:$F,F200)&gt;1,"REVIEW - same amount appears twice",IF(G200=0,"UNMATCHED - no ledger entry",IF(G200&gt;1,"REVIEW - matches several ledger entries","Matched"))))</f>
        <v/>
      </c>
    </row>
    <row r="201">
      <c r="A201" s="8" t="n"/>
      <c r="B201" s="9" t="n"/>
      <c r="C201" s="10" t="n"/>
      <c r="D201" s="10" t="n"/>
      <c r="E201" s="10">
        <f>N(C201)-N(D201)</f>
        <v/>
      </c>
      <c r="F201" s="9">
        <f>IF(E201=0,"",TEXT(ABS(E201),"0.00")&amp;"|"&amp;IF(E201&gt;0,"AR","AP"))</f>
        <v/>
      </c>
      <c r="G201" s="9">
        <f>IF(F201="","",COUNTIF(Ledger!$H:$H,F201))</f>
        <v/>
      </c>
      <c r="H201" s="9">
        <f>IF(F201="","",IF(COUNTIF($F:$F,F201)&gt;1,"REVIEW - same amount appears twice",IF(G201=0,"UNMATCHED - no ledger entry",IF(G201&gt;1,"REVIEW - matches several ledger entries","Matched"))))</f>
        <v/>
      </c>
    </row>
    <row r="202">
      <c r="A202" s="8" t="n"/>
      <c r="B202" s="9" t="n"/>
      <c r="C202" s="10" t="n"/>
      <c r="D202" s="10" t="n"/>
      <c r="E202" s="10">
        <f>N(C202)-N(D202)</f>
        <v/>
      </c>
      <c r="F202" s="9">
        <f>IF(E202=0,"",TEXT(ABS(E202),"0.00")&amp;"|"&amp;IF(E202&gt;0,"AR","AP"))</f>
        <v/>
      </c>
      <c r="G202" s="9">
        <f>IF(F202="","",COUNTIF(Ledger!$H:$H,F202))</f>
        <v/>
      </c>
      <c r="H202" s="9">
        <f>IF(F202="","",IF(COUNTIF($F:$F,F202)&gt;1,"REVIEW - same amount appears twice",IF(G202=0,"UNMATCHED - no ledger entry",IF(G202&gt;1,"REVIEW - matches several ledger entries","Matched"))))</f>
        <v/>
      </c>
    </row>
    <row r="203">
      <c r="A203" s="8" t="n"/>
      <c r="B203" s="9" t="n"/>
      <c r="C203" s="10" t="n"/>
      <c r="D203" s="10" t="n"/>
      <c r="E203" s="10">
        <f>N(C203)-N(D203)</f>
        <v/>
      </c>
      <c r="F203" s="9">
        <f>IF(E203=0,"",TEXT(ABS(E203),"0.00")&amp;"|"&amp;IF(E203&gt;0,"AR","AP"))</f>
        <v/>
      </c>
      <c r="G203" s="9">
        <f>IF(F203="","",COUNTIF(Ledger!$H:$H,F203))</f>
        <v/>
      </c>
      <c r="H203" s="9">
        <f>IF(F203="","",IF(COUNTIF($F:$F,F203)&gt;1,"REVIEW - same amount appears twice",IF(G203=0,"UNMATCHED - no ledger entry",IF(G203&gt;1,"REVIEW - matches several ledger entries","Matched"))))</f>
        <v/>
      </c>
    </row>
    <row r="204">
      <c r="A204" s="8" t="n"/>
      <c r="B204" s="9" t="n"/>
      <c r="C204" s="10" t="n"/>
      <c r="D204" s="10" t="n"/>
      <c r="E204" s="10">
        <f>N(C204)-N(D204)</f>
        <v/>
      </c>
      <c r="F204" s="9">
        <f>IF(E204=0,"",TEXT(ABS(E204),"0.00")&amp;"|"&amp;IF(E204&gt;0,"AR","AP"))</f>
        <v/>
      </c>
      <c r="G204" s="9">
        <f>IF(F204="","",COUNTIF(Ledger!$H:$H,F204))</f>
        <v/>
      </c>
      <c r="H204" s="9">
        <f>IF(F204="","",IF(COUNTIF($F:$F,F204)&gt;1,"REVIEW - same amount appears twice",IF(G204=0,"UNMATCHED - no ledger entry",IF(G204&gt;1,"REVIEW - matches several ledger entries","Matched"))))</f>
        <v/>
      </c>
    </row>
    <row r="205">
      <c r="A205" s="8" t="n"/>
      <c r="B205" s="9" t="n"/>
      <c r="C205" s="10" t="n"/>
      <c r="D205" s="10" t="n"/>
      <c r="E205" s="10">
        <f>N(C205)-N(D205)</f>
        <v/>
      </c>
      <c r="F205" s="9">
        <f>IF(E205=0,"",TEXT(ABS(E205),"0.00")&amp;"|"&amp;IF(E205&gt;0,"AR","AP"))</f>
        <v/>
      </c>
      <c r="G205" s="9">
        <f>IF(F205="","",COUNTIF(Ledger!$H:$H,F205))</f>
        <v/>
      </c>
      <c r="H205" s="9">
        <f>IF(F205="","",IF(COUNTIF($F:$F,F205)&gt;1,"REVIEW - same amount appears twice",IF(G205=0,"UNMATCHED - no ledger entry",IF(G205&gt;1,"REVIEW - matches several ledger entries","Matched"))))</f>
        <v/>
      </c>
    </row>
    <row r="206">
      <c r="A206" s="8" t="n"/>
      <c r="B206" s="9" t="n"/>
      <c r="C206" s="10" t="n"/>
      <c r="D206" s="10" t="n"/>
      <c r="E206" s="10">
        <f>N(C206)-N(D206)</f>
        <v/>
      </c>
      <c r="F206" s="9">
        <f>IF(E206=0,"",TEXT(ABS(E206),"0.00")&amp;"|"&amp;IF(E206&gt;0,"AR","AP"))</f>
        <v/>
      </c>
      <c r="G206" s="9">
        <f>IF(F206="","",COUNTIF(Ledger!$H:$H,F206))</f>
        <v/>
      </c>
      <c r="H206" s="9">
        <f>IF(F206="","",IF(COUNTIF($F:$F,F206)&gt;1,"REVIEW - same amount appears twice",IF(G206=0,"UNMATCHED - no ledger entry",IF(G206&gt;1,"REVIEW - matches several ledger entries","Matched"))))</f>
        <v/>
      </c>
    </row>
    <row r="207">
      <c r="A207" s="8" t="n"/>
      <c r="B207" s="9" t="n"/>
      <c r="C207" s="10" t="n"/>
      <c r="D207" s="10" t="n"/>
      <c r="E207" s="10">
        <f>N(C207)-N(D207)</f>
        <v/>
      </c>
      <c r="F207" s="9">
        <f>IF(E207=0,"",TEXT(ABS(E207),"0.00")&amp;"|"&amp;IF(E207&gt;0,"AR","AP"))</f>
        <v/>
      </c>
      <c r="G207" s="9">
        <f>IF(F207="","",COUNTIF(Ledger!$H:$H,F207))</f>
        <v/>
      </c>
      <c r="H207" s="9">
        <f>IF(F207="","",IF(COUNTIF($F:$F,F207)&gt;1,"REVIEW - same amount appears twice",IF(G207=0,"UNMATCHED - no ledger entry",IF(G207&gt;1,"REVIEW - matches several ledger entries","Matched"))))</f>
        <v/>
      </c>
    </row>
    <row r="208">
      <c r="A208" s="8" t="n"/>
      <c r="B208" s="9" t="n"/>
      <c r="C208" s="10" t="n"/>
      <c r="D208" s="10" t="n"/>
      <c r="E208" s="10">
        <f>N(C208)-N(D208)</f>
        <v/>
      </c>
      <c r="F208" s="9">
        <f>IF(E208=0,"",TEXT(ABS(E208),"0.00")&amp;"|"&amp;IF(E208&gt;0,"AR","AP"))</f>
        <v/>
      </c>
      <c r="G208" s="9">
        <f>IF(F208="","",COUNTIF(Ledger!$H:$H,F208))</f>
        <v/>
      </c>
      <c r="H208" s="9">
        <f>IF(F208="","",IF(COUNTIF($F:$F,F208)&gt;1,"REVIEW - same amount appears twice",IF(G208=0,"UNMATCHED - no ledger entry",IF(G208&gt;1,"REVIEW - matches several ledger entries","Matched"))))</f>
        <v/>
      </c>
    </row>
    <row r="209">
      <c r="A209" s="8" t="n"/>
      <c r="B209" s="9" t="n"/>
      <c r="C209" s="10" t="n"/>
      <c r="D209" s="10" t="n"/>
      <c r="E209" s="10">
        <f>N(C209)-N(D209)</f>
        <v/>
      </c>
      <c r="F209" s="9">
        <f>IF(E209=0,"",TEXT(ABS(E209),"0.00")&amp;"|"&amp;IF(E209&gt;0,"AR","AP"))</f>
        <v/>
      </c>
      <c r="G209" s="9">
        <f>IF(F209="","",COUNTIF(Ledger!$H:$H,F209))</f>
        <v/>
      </c>
      <c r="H209" s="9">
        <f>IF(F209="","",IF(COUNTIF($F:$F,F209)&gt;1,"REVIEW - same amount appears twice",IF(G209=0,"UNMATCHED - no ledger entry",IF(G209&gt;1,"REVIEW - matches several ledger entries","Matched"))))</f>
        <v/>
      </c>
    </row>
    <row r="210">
      <c r="A210" s="8" t="n"/>
      <c r="B210" s="9" t="n"/>
      <c r="C210" s="10" t="n"/>
      <c r="D210" s="10" t="n"/>
      <c r="E210" s="10">
        <f>N(C210)-N(D210)</f>
        <v/>
      </c>
      <c r="F210" s="9">
        <f>IF(E210=0,"",TEXT(ABS(E210),"0.00")&amp;"|"&amp;IF(E210&gt;0,"AR","AP"))</f>
        <v/>
      </c>
      <c r="G210" s="9">
        <f>IF(F210="","",COUNTIF(Ledger!$H:$H,F210))</f>
        <v/>
      </c>
      <c r="H210" s="9">
        <f>IF(F210="","",IF(COUNTIF($F:$F,F210)&gt;1,"REVIEW - same amount appears twice",IF(G210=0,"UNMATCHED - no ledger entry",IF(G210&gt;1,"REVIEW - matches several ledger entries","Matched"))))</f>
        <v/>
      </c>
    </row>
    <row r="211">
      <c r="A211" s="8" t="n"/>
      <c r="B211" s="9" t="n"/>
      <c r="C211" s="10" t="n"/>
      <c r="D211" s="10" t="n"/>
      <c r="E211" s="10">
        <f>N(C211)-N(D211)</f>
        <v/>
      </c>
      <c r="F211" s="9">
        <f>IF(E211=0,"",TEXT(ABS(E211),"0.00")&amp;"|"&amp;IF(E211&gt;0,"AR","AP"))</f>
        <v/>
      </c>
      <c r="G211" s="9">
        <f>IF(F211="","",COUNTIF(Ledger!$H:$H,F211))</f>
        <v/>
      </c>
      <c r="H211" s="9">
        <f>IF(F211="","",IF(COUNTIF($F:$F,F211)&gt;1,"REVIEW - same amount appears twice",IF(G211=0,"UNMATCHED - no ledger entry",IF(G211&gt;1,"REVIEW - matches several ledger entries","Matched"))))</f>
        <v/>
      </c>
    </row>
    <row r="212">
      <c r="A212" s="8" t="n"/>
      <c r="B212" s="9" t="n"/>
      <c r="C212" s="10" t="n"/>
      <c r="D212" s="10" t="n"/>
      <c r="E212" s="10">
        <f>N(C212)-N(D212)</f>
        <v/>
      </c>
      <c r="F212" s="9">
        <f>IF(E212=0,"",TEXT(ABS(E212),"0.00")&amp;"|"&amp;IF(E212&gt;0,"AR","AP"))</f>
        <v/>
      </c>
      <c r="G212" s="9">
        <f>IF(F212="","",COUNTIF(Ledger!$H:$H,F212))</f>
        <v/>
      </c>
      <c r="H212" s="9">
        <f>IF(F212="","",IF(COUNTIF($F:$F,F212)&gt;1,"REVIEW - same amount appears twice",IF(G212=0,"UNMATCHED - no ledger entry",IF(G212&gt;1,"REVIEW - matches several ledger entries","Matched"))))</f>
        <v/>
      </c>
    </row>
    <row r="213">
      <c r="A213" s="8" t="n"/>
      <c r="B213" s="9" t="n"/>
      <c r="C213" s="10" t="n"/>
      <c r="D213" s="10" t="n"/>
      <c r="E213" s="10">
        <f>N(C213)-N(D213)</f>
        <v/>
      </c>
      <c r="F213" s="9">
        <f>IF(E213=0,"",TEXT(ABS(E213),"0.00")&amp;"|"&amp;IF(E213&gt;0,"AR","AP"))</f>
        <v/>
      </c>
      <c r="G213" s="9">
        <f>IF(F213="","",COUNTIF(Ledger!$H:$H,F213))</f>
        <v/>
      </c>
      <c r="H213" s="9">
        <f>IF(F213="","",IF(COUNTIF($F:$F,F213)&gt;1,"REVIEW - same amount appears twice",IF(G213=0,"UNMATCHED - no ledger entry",IF(G213&gt;1,"REVIEW - matches several ledger entries","Matched"))))</f>
        <v/>
      </c>
    </row>
    <row r="214">
      <c r="A214" s="8" t="n"/>
      <c r="B214" s="9" t="n"/>
      <c r="C214" s="10" t="n"/>
      <c r="D214" s="10" t="n"/>
      <c r="E214" s="10">
        <f>N(C214)-N(D214)</f>
        <v/>
      </c>
      <c r="F214" s="9">
        <f>IF(E214=0,"",TEXT(ABS(E214),"0.00")&amp;"|"&amp;IF(E214&gt;0,"AR","AP"))</f>
        <v/>
      </c>
      <c r="G214" s="9">
        <f>IF(F214="","",COUNTIF(Ledger!$H:$H,F214))</f>
        <v/>
      </c>
      <c r="H214" s="9">
        <f>IF(F214="","",IF(COUNTIF($F:$F,F214)&gt;1,"REVIEW - same amount appears twice",IF(G214=0,"UNMATCHED - no ledger entry",IF(G214&gt;1,"REVIEW - matches several ledger entries","Matched"))))</f>
        <v/>
      </c>
    </row>
    <row r="215">
      <c r="A215" s="8" t="n"/>
      <c r="B215" s="9" t="n"/>
      <c r="C215" s="10" t="n"/>
      <c r="D215" s="10" t="n"/>
      <c r="E215" s="10">
        <f>N(C215)-N(D215)</f>
        <v/>
      </c>
      <c r="F215" s="9">
        <f>IF(E215=0,"",TEXT(ABS(E215),"0.00")&amp;"|"&amp;IF(E215&gt;0,"AR","AP"))</f>
        <v/>
      </c>
      <c r="G215" s="9">
        <f>IF(F215="","",COUNTIF(Ledger!$H:$H,F215))</f>
        <v/>
      </c>
      <c r="H215" s="9">
        <f>IF(F215="","",IF(COUNTIF($F:$F,F215)&gt;1,"REVIEW - same amount appears twice",IF(G215=0,"UNMATCHED - no ledger entry",IF(G215&gt;1,"REVIEW - matches several ledger entries","Matched"))))</f>
        <v/>
      </c>
    </row>
    <row r="216">
      <c r="A216" s="8" t="n"/>
      <c r="B216" s="9" t="n"/>
      <c r="C216" s="10" t="n"/>
      <c r="D216" s="10" t="n"/>
      <c r="E216" s="10">
        <f>N(C216)-N(D216)</f>
        <v/>
      </c>
      <c r="F216" s="9">
        <f>IF(E216=0,"",TEXT(ABS(E216),"0.00")&amp;"|"&amp;IF(E216&gt;0,"AR","AP"))</f>
        <v/>
      </c>
      <c r="G216" s="9">
        <f>IF(F216="","",COUNTIF(Ledger!$H:$H,F216))</f>
        <v/>
      </c>
      <c r="H216" s="9">
        <f>IF(F216="","",IF(COUNTIF($F:$F,F216)&gt;1,"REVIEW - same amount appears twice",IF(G216=0,"UNMATCHED - no ledger entry",IF(G216&gt;1,"REVIEW - matches several ledger entries","Matched"))))</f>
        <v/>
      </c>
    </row>
    <row r="217">
      <c r="A217" s="8" t="n"/>
      <c r="B217" s="9" t="n"/>
      <c r="C217" s="10" t="n"/>
      <c r="D217" s="10" t="n"/>
      <c r="E217" s="10">
        <f>N(C217)-N(D217)</f>
        <v/>
      </c>
      <c r="F217" s="9">
        <f>IF(E217=0,"",TEXT(ABS(E217),"0.00")&amp;"|"&amp;IF(E217&gt;0,"AR","AP"))</f>
        <v/>
      </c>
      <c r="G217" s="9">
        <f>IF(F217="","",COUNTIF(Ledger!$H:$H,F217))</f>
        <v/>
      </c>
      <c r="H217" s="9">
        <f>IF(F217="","",IF(COUNTIF($F:$F,F217)&gt;1,"REVIEW - same amount appears twice",IF(G217=0,"UNMATCHED - no ledger entry",IF(G217&gt;1,"REVIEW - matches several ledger entries","Matched"))))</f>
        <v/>
      </c>
    </row>
    <row r="218">
      <c r="A218" s="8" t="n"/>
      <c r="B218" s="9" t="n"/>
      <c r="C218" s="10" t="n"/>
      <c r="D218" s="10" t="n"/>
      <c r="E218" s="10">
        <f>N(C218)-N(D218)</f>
        <v/>
      </c>
      <c r="F218" s="9">
        <f>IF(E218=0,"",TEXT(ABS(E218),"0.00")&amp;"|"&amp;IF(E218&gt;0,"AR","AP"))</f>
        <v/>
      </c>
      <c r="G218" s="9">
        <f>IF(F218="","",COUNTIF(Ledger!$H:$H,F218))</f>
        <v/>
      </c>
      <c r="H218" s="9">
        <f>IF(F218="","",IF(COUNTIF($F:$F,F218)&gt;1,"REVIEW - same amount appears twice",IF(G218=0,"UNMATCHED - no ledger entry",IF(G218&gt;1,"REVIEW - matches several ledger entries","Matched"))))</f>
        <v/>
      </c>
    </row>
    <row r="219">
      <c r="A219" s="8" t="n"/>
      <c r="B219" s="9" t="n"/>
      <c r="C219" s="10" t="n"/>
      <c r="D219" s="10" t="n"/>
      <c r="E219" s="10">
        <f>N(C219)-N(D219)</f>
        <v/>
      </c>
      <c r="F219" s="9">
        <f>IF(E219=0,"",TEXT(ABS(E219),"0.00")&amp;"|"&amp;IF(E219&gt;0,"AR","AP"))</f>
        <v/>
      </c>
      <c r="G219" s="9">
        <f>IF(F219="","",COUNTIF(Ledger!$H:$H,F219))</f>
        <v/>
      </c>
      <c r="H219" s="9">
        <f>IF(F219="","",IF(COUNTIF($F:$F,F219)&gt;1,"REVIEW - same amount appears twice",IF(G219=0,"UNMATCHED - no ledger entry",IF(G219&gt;1,"REVIEW - matches several ledger entries","Matched"))))</f>
        <v/>
      </c>
    </row>
    <row r="220">
      <c r="A220" s="8" t="n"/>
      <c r="B220" s="9" t="n"/>
      <c r="C220" s="10" t="n"/>
      <c r="D220" s="10" t="n"/>
      <c r="E220" s="10">
        <f>N(C220)-N(D220)</f>
        <v/>
      </c>
      <c r="F220" s="9">
        <f>IF(E220=0,"",TEXT(ABS(E220),"0.00")&amp;"|"&amp;IF(E220&gt;0,"AR","AP"))</f>
        <v/>
      </c>
      <c r="G220" s="9">
        <f>IF(F220="","",COUNTIF(Ledger!$H:$H,F220))</f>
        <v/>
      </c>
      <c r="H220" s="9">
        <f>IF(F220="","",IF(COUNTIF($F:$F,F220)&gt;1,"REVIEW - same amount appears twice",IF(G220=0,"UNMATCHED - no ledger entry",IF(G220&gt;1,"REVIEW - matches several ledger entries","Matched"))))</f>
        <v/>
      </c>
    </row>
    <row r="221">
      <c r="A221" s="8" t="n"/>
      <c r="B221" s="9" t="n"/>
      <c r="C221" s="10" t="n"/>
      <c r="D221" s="10" t="n"/>
      <c r="E221" s="10">
        <f>N(C221)-N(D221)</f>
        <v/>
      </c>
      <c r="F221" s="9">
        <f>IF(E221=0,"",TEXT(ABS(E221),"0.00")&amp;"|"&amp;IF(E221&gt;0,"AR","AP"))</f>
        <v/>
      </c>
      <c r="G221" s="9">
        <f>IF(F221="","",COUNTIF(Ledger!$H:$H,F221))</f>
        <v/>
      </c>
      <c r="H221" s="9">
        <f>IF(F221="","",IF(COUNTIF($F:$F,F221)&gt;1,"REVIEW - same amount appears twice",IF(G221=0,"UNMATCHED - no ledger entry",IF(G221&gt;1,"REVIEW - matches several ledger entries","Matched"))))</f>
        <v/>
      </c>
    </row>
    <row r="222">
      <c r="A222" s="8" t="n"/>
      <c r="B222" s="9" t="n"/>
      <c r="C222" s="10" t="n"/>
      <c r="D222" s="10" t="n"/>
      <c r="E222" s="10">
        <f>N(C222)-N(D222)</f>
        <v/>
      </c>
      <c r="F222" s="9">
        <f>IF(E222=0,"",TEXT(ABS(E222),"0.00")&amp;"|"&amp;IF(E222&gt;0,"AR","AP"))</f>
        <v/>
      </c>
      <c r="G222" s="9">
        <f>IF(F222="","",COUNTIF(Ledger!$H:$H,F222))</f>
        <v/>
      </c>
      <c r="H222" s="9">
        <f>IF(F222="","",IF(COUNTIF($F:$F,F222)&gt;1,"REVIEW - same amount appears twice",IF(G222=0,"UNMATCHED - no ledger entry",IF(G222&gt;1,"REVIEW - matches several ledger entries","Matched"))))</f>
        <v/>
      </c>
    </row>
    <row r="223">
      <c r="A223" s="8" t="n"/>
      <c r="B223" s="9" t="n"/>
      <c r="C223" s="10" t="n"/>
      <c r="D223" s="10" t="n"/>
      <c r="E223" s="10">
        <f>N(C223)-N(D223)</f>
        <v/>
      </c>
      <c r="F223" s="9">
        <f>IF(E223=0,"",TEXT(ABS(E223),"0.00")&amp;"|"&amp;IF(E223&gt;0,"AR","AP"))</f>
        <v/>
      </c>
      <c r="G223" s="9">
        <f>IF(F223="","",COUNTIF(Ledger!$H:$H,F223))</f>
        <v/>
      </c>
      <c r="H223" s="9">
        <f>IF(F223="","",IF(COUNTIF($F:$F,F223)&gt;1,"REVIEW - same amount appears twice",IF(G223=0,"UNMATCHED - no ledger entry",IF(G223&gt;1,"REVIEW - matches several ledger entries","Matched"))))</f>
        <v/>
      </c>
    </row>
    <row r="224">
      <c r="A224" s="8" t="n"/>
      <c r="B224" s="9" t="n"/>
      <c r="C224" s="10" t="n"/>
      <c r="D224" s="10" t="n"/>
      <c r="E224" s="10">
        <f>N(C224)-N(D224)</f>
        <v/>
      </c>
      <c r="F224" s="9">
        <f>IF(E224=0,"",TEXT(ABS(E224),"0.00")&amp;"|"&amp;IF(E224&gt;0,"AR","AP"))</f>
        <v/>
      </c>
      <c r="G224" s="9">
        <f>IF(F224="","",COUNTIF(Ledger!$H:$H,F224))</f>
        <v/>
      </c>
      <c r="H224" s="9">
        <f>IF(F224="","",IF(COUNTIF($F:$F,F224)&gt;1,"REVIEW - same amount appears twice",IF(G224=0,"UNMATCHED - no ledger entry",IF(G224&gt;1,"REVIEW - matches several ledger entries","Matched"))))</f>
        <v/>
      </c>
    </row>
    <row r="225">
      <c r="A225" s="8" t="n"/>
      <c r="B225" s="9" t="n"/>
      <c r="C225" s="10" t="n"/>
      <c r="D225" s="10" t="n"/>
      <c r="E225" s="10">
        <f>N(C225)-N(D225)</f>
        <v/>
      </c>
      <c r="F225" s="9">
        <f>IF(E225=0,"",TEXT(ABS(E225),"0.00")&amp;"|"&amp;IF(E225&gt;0,"AR","AP"))</f>
        <v/>
      </c>
      <c r="G225" s="9">
        <f>IF(F225="","",COUNTIF(Ledger!$H:$H,F225))</f>
        <v/>
      </c>
      <c r="H225" s="9">
        <f>IF(F225="","",IF(COUNTIF($F:$F,F225)&gt;1,"REVIEW - same amount appears twice",IF(G225=0,"UNMATCHED - no ledger entry",IF(G225&gt;1,"REVIEW - matches several ledger entries","Matched"))))</f>
        <v/>
      </c>
    </row>
    <row r="226">
      <c r="A226" s="8" t="n"/>
      <c r="B226" s="9" t="n"/>
      <c r="C226" s="10" t="n"/>
      <c r="D226" s="10" t="n"/>
      <c r="E226" s="10">
        <f>N(C226)-N(D226)</f>
        <v/>
      </c>
      <c r="F226" s="9">
        <f>IF(E226=0,"",TEXT(ABS(E226),"0.00")&amp;"|"&amp;IF(E226&gt;0,"AR","AP"))</f>
        <v/>
      </c>
      <c r="G226" s="9">
        <f>IF(F226="","",COUNTIF(Ledger!$H:$H,F226))</f>
        <v/>
      </c>
      <c r="H226" s="9">
        <f>IF(F226="","",IF(COUNTIF($F:$F,F226)&gt;1,"REVIEW - same amount appears twice",IF(G226=0,"UNMATCHED - no ledger entry",IF(G226&gt;1,"REVIEW - matches several ledger entries","Matched"))))</f>
        <v/>
      </c>
    </row>
    <row r="227">
      <c r="A227" s="8" t="n"/>
      <c r="B227" s="9" t="n"/>
      <c r="C227" s="10" t="n"/>
      <c r="D227" s="10" t="n"/>
      <c r="E227" s="10">
        <f>N(C227)-N(D227)</f>
        <v/>
      </c>
      <c r="F227" s="9">
        <f>IF(E227=0,"",TEXT(ABS(E227),"0.00")&amp;"|"&amp;IF(E227&gt;0,"AR","AP"))</f>
        <v/>
      </c>
      <c r="G227" s="9">
        <f>IF(F227="","",COUNTIF(Ledger!$H:$H,F227))</f>
        <v/>
      </c>
      <c r="H227" s="9">
        <f>IF(F227="","",IF(COUNTIF($F:$F,F227)&gt;1,"REVIEW - same amount appears twice",IF(G227=0,"UNMATCHED - no ledger entry",IF(G227&gt;1,"REVIEW - matches several ledger entries","Matched"))))</f>
        <v/>
      </c>
    </row>
    <row r="228">
      <c r="A228" s="8" t="n"/>
      <c r="B228" s="9" t="n"/>
      <c r="C228" s="10" t="n"/>
      <c r="D228" s="10" t="n"/>
      <c r="E228" s="10">
        <f>N(C228)-N(D228)</f>
        <v/>
      </c>
      <c r="F228" s="9">
        <f>IF(E228=0,"",TEXT(ABS(E228),"0.00")&amp;"|"&amp;IF(E228&gt;0,"AR","AP"))</f>
        <v/>
      </c>
      <c r="G228" s="9">
        <f>IF(F228="","",COUNTIF(Ledger!$H:$H,F228))</f>
        <v/>
      </c>
      <c r="H228" s="9">
        <f>IF(F228="","",IF(COUNTIF($F:$F,F228)&gt;1,"REVIEW - same amount appears twice",IF(G228=0,"UNMATCHED - no ledger entry",IF(G228&gt;1,"REVIEW - matches several ledger entries","Matched"))))</f>
        <v/>
      </c>
    </row>
    <row r="229">
      <c r="A229" s="8" t="n"/>
      <c r="B229" s="9" t="n"/>
      <c r="C229" s="10" t="n"/>
      <c r="D229" s="10" t="n"/>
      <c r="E229" s="10">
        <f>N(C229)-N(D229)</f>
        <v/>
      </c>
      <c r="F229" s="9">
        <f>IF(E229=0,"",TEXT(ABS(E229),"0.00")&amp;"|"&amp;IF(E229&gt;0,"AR","AP"))</f>
        <v/>
      </c>
      <c r="G229" s="9">
        <f>IF(F229="","",COUNTIF(Ledger!$H:$H,F229))</f>
        <v/>
      </c>
      <c r="H229" s="9">
        <f>IF(F229="","",IF(COUNTIF($F:$F,F229)&gt;1,"REVIEW - same amount appears twice",IF(G229=0,"UNMATCHED - no ledger entry",IF(G229&gt;1,"REVIEW - matches several ledger entries","Matched"))))</f>
        <v/>
      </c>
    </row>
    <row r="230">
      <c r="A230" s="8" t="n"/>
      <c r="B230" s="9" t="n"/>
      <c r="C230" s="10" t="n"/>
      <c r="D230" s="10" t="n"/>
      <c r="E230" s="10">
        <f>N(C230)-N(D230)</f>
        <v/>
      </c>
      <c r="F230" s="9">
        <f>IF(E230=0,"",TEXT(ABS(E230),"0.00")&amp;"|"&amp;IF(E230&gt;0,"AR","AP"))</f>
        <v/>
      </c>
      <c r="G230" s="9">
        <f>IF(F230="","",COUNTIF(Ledger!$H:$H,F230))</f>
        <v/>
      </c>
      <c r="H230" s="9">
        <f>IF(F230="","",IF(COUNTIF($F:$F,F230)&gt;1,"REVIEW - same amount appears twice",IF(G230=0,"UNMATCHED - no ledger entry",IF(G230&gt;1,"REVIEW - matches several ledger entries","Matched"))))</f>
        <v/>
      </c>
    </row>
    <row r="231">
      <c r="A231" s="8" t="n"/>
      <c r="B231" s="9" t="n"/>
      <c r="C231" s="10" t="n"/>
      <c r="D231" s="10" t="n"/>
      <c r="E231" s="10">
        <f>N(C231)-N(D231)</f>
        <v/>
      </c>
      <c r="F231" s="9">
        <f>IF(E231=0,"",TEXT(ABS(E231),"0.00")&amp;"|"&amp;IF(E231&gt;0,"AR","AP"))</f>
        <v/>
      </c>
      <c r="G231" s="9">
        <f>IF(F231="","",COUNTIF(Ledger!$H:$H,F231))</f>
        <v/>
      </c>
      <c r="H231" s="9">
        <f>IF(F231="","",IF(COUNTIF($F:$F,F231)&gt;1,"REVIEW - same amount appears twice",IF(G231=0,"UNMATCHED - no ledger entry",IF(G231&gt;1,"REVIEW - matches several ledger entries","Matched"))))</f>
        <v/>
      </c>
    </row>
    <row r="232">
      <c r="A232" s="8" t="n"/>
      <c r="B232" s="9" t="n"/>
      <c r="C232" s="10" t="n"/>
      <c r="D232" s="10" t="n"/>
      <c r="E232" s="10">
        <f>N(C232)-N(D232)</f>
        <v/>
      </c>
      <c r="F232" s="9">
        <f>IF(E232=0,"",TEXT(ABS(E232),"0.00")&amp;"|"&amp;IF(E232&gt;0,"AR","AP"))</f>
        <v/>
      </c>
      <c r="G232" s="9">
        <f>IF(F232="","",COUNTIF(Ledger!$H:$H,F232))</f>
        <v/>
      </c>
      <c r="H232" s="9">
        <f>IF(F232="","",IF(COUNTIF($F:$F,F232)&gt;1,"REVIEW - same amount appears twice",IF(G232=0,"UNMATCHED - no ledger entry",IF(G232&gt;1,"REVIEW - matches several ledger entries","Matched"))))</f>
        <v/>
      </c>
    </row>
    <row r="233">
      <c r="A233" s="8" t="n"/>
      <c r="B233" s="9" t="n"/>
      <c r="C233" s="10" t="n"/>
      <c r="D233" s="10" t="n"/>
      <c r="E233" s="10">
        <f>N(C233)-N(D233)</f>
        <v/>
      </c>
      <c r="F233" s="9">
        <f>IF(E233=0,"",TEXT(ABS(E233),"0.00")&amp;"|"&amp;IF(E233&gt;0,"AR","AP"))</f>
        <v/>
      </c>
      <c r="G233" s="9">
        <f>IF(F233="","",COUNTIF(Ledger!$H:$H,F233))</f>
        <v/>
      </c>
      <c r="H233" s="9">
        <f>IF(F233="","",IF(COUNTIF($F:$F,F233)&gt;1,"REVIEW - same amount appears twice",IF(G233=0,"UNMATCHED - no ledger entry",IF(G233&gt;1,"REVIEW - matches several ledger entries","Matched"))))</f>
        <v/>
      </c>
    </row>
    <row r="234">
      <c r="A234" s="8" t="n"/>
      <c r="B234" s="9" t="n"/>
      <c r="C234" s="10" t="n"/>
      <c r="D234" s="10" t="n"/>
      <c r="E234" s="10">
        <f>N(C234)-N(D234)</f>
        <v/>
      </c>
      <c r="F234" s="9">
        <f>IF(E234=0,"",TEXT(ABS(E234),"0.00")&amp;"|"&amp;IF(E234&gt;0,"AR","AP"))</f>
        <v/>
      </c>
      <c r="G234" s="9">
        <f>IF(F234="","",COUNTIF(Ledger!$H:$H,F234))</f>
        <v/>
      </c>
      <c r="H234" s="9">
        <f>IF(F234="","",IF(COUNTIF($F:$F,F234)&gt;1,"REVIEW - same amount appears twice",IF(G234=0,"UNMATCHED - no ledger entry",IF(G234&gt;1,"REVIEW - matches several ledger entries","Matched"))))</f>
        <v/>
      </c>
    </row>
    <row r="235">
      <c r="A235" s="8" t="n"/>
      <c r="B235" s="9" t="n"/>
      <c r="C235" s="10" t="n"/>
      <c r="D235" s="10" t="n"/>
      <c r="E235" s="10">
        <f>N(C235)-N(D235)</f>
        <v/>
      </c>
      <c r="F235" s="9">
        <f>IF(E235=0,"",TEXT(ABS(E235),"0.00")&amp;"|"&amp;IF(E235&gt;0,"AR","AP"))</f>
        <v/>
      </c>
      <c r="G235" s="9">
        <f>IF(F235="","",COUNTIF(Ledger!$H:$H,F235))</f>
        <v/>
      </c>
      <c r="H235" s="9">
        <f>IF(F235="","",IF(COUNTIF($F:$F,F235)&gt;1,"REVIEW - same amount appears twice",IF(G235=0,"UNMATCHED - no ledger entry",IF(G235&gt;1,"REVIEW - matches several ledger entries","Matched"))))</f>
        <v/>
      </c>
    </row>
    <row r="236">
      <c r="A236" s="8" t="n"/>
      <c r="B236" s="9" t="n"/>
      <c r="C236" s="10" t="n"/>
      <c r="D236" s="10" t="n"/>
      <c r="E236" s="10">
        <f>N(C236)-N(D236)</f>
        <v/>
      </c>
      <c r="F236" s="9">
        <f>IF(E236=0,"",TEXT(ABS(E236),"0.00")&amp;"|"&amp;IF(E236&gt;0,"AR","AP"))</f>
        <v/>
      </c>
      <c r="G236" s="9">
        <f>IF(F236="","",COUNTIF(Ledger!$H:$H,F236))</f>
        <v/>
      </c>
      <c r="H236" s="9">
        <f>IF(F236="","",IF(COUNTIF($F:$F,F236)&gt;1,"REVIEW - same amount appears twice",IF(G236=0,"UNMATCHED - no ledger entry",IF(G236&gt;1,"REVIEW - matches several ledger entries","Matched"))))</f>
        <v/>
      </c>
    </row>
    <row r="237">
      <c r="A237" s="8" t="n"/>
      <c r="B237" s="9" t="n"/>
      <c r="C237" s="10" t="n"/>
      <c r="D237" s="10" t="n"/>
      <c r="E237" s="10">
        <f>N(C237)-N(D237)</f>
        <v/>
      </c>
      <c r="F237" s="9">
        <f>IF(E237=0,"",TEXT(ABS(E237),"0.00")&amp;"|"&amp;IF(E237&gt;0,"AR","AP"))</f>
        <v/>
      </c>
      <c r="G237" s="9">
        <f>IF(F237="","",COUNTIF(Ledger!$H:$H,F237))</f>
        <v/>
      </c>
      <c r="H237" s="9">
        <f>IF(F237="","",IF(COUNTIF($F:$F,F237)&gt;1,"REVIEW - same amount appears twice",IF(G237=0,"UNMATCHED - no ledger entry",IF(G237&gt;1,"REVIEW - matches several ledger entries","Matched"))))</f>
        <v/>
      </c>
    </row>
    <row r="238">
      <c r="A238" s="8" t="n"/>
      <c r="B238" s="9" t="n"/>
      <c r="C238" s="10" t="n"/>
      <c r="D238" s="10" t="n"/>
      <c r="E238" s="10">
        <f>N(C238)-N(D238)</f>
        <v/>
      </c>
      <c r="F238" s="9">
        <f>IF(E238=0,"",TEXT(ABS(E238),"0.00")&amp;"|"&amp;IF(E238&gt;0,"AR","AP"))</f>
        <v/>
      </c>
      <c r="G238" s="9">
        <f>IF(F238="","",COUNTIF(Ledger!$H:$H,F238))</f>
        <v/>
      </c>
      <c r="H238" s="9">
        <f>IF(F238="","",IF(COUNTIF($F:$F,F238)&gt;1,"REVIEW - same amount appears twice",IF(G238=0,"UNMATCHED - no ledger entry",IF(G238&gt;1,"REVIEW - matches several ledger entries","Matched"))))</f>
        <v/>
      </c>
    </row>
    <row r="239">
      <c r="A239" s="8" t="n"/>
      <c r="B239" s="9" t="n"/>
      <c r="C239" s="10" t="n"/>
      <c r="D239" s="10" t="n"/>
      <c r="E239" s="10">
        <f>N(C239)-N(D239)</f>
        <v/>
      </c>
      <c r="F239" s="9">
        <f>IF(E239=0,"",TEXT(ABS(E239),"0.00")&amp;"|"&amp;IF(E239&gt;0,"AR","AP"))</f>
        <v/>
      </c>
      <c r="G239" s="9">
        <f>IF(F239="","",COUNTIF(Ledger!$H:$H,F239))</f>
        <v/>
      </c>
      <c r="H239" s="9">
        <f>IF(F239="","",IF(COUNTIF($F:$F,F239)&gt;1,"REVIEW - same amount appears twice",IF(G239=0,"UNMATCHED - no ledger entry",IF(G239&gt;1,"REVIEW - matches several ledger entries","Matched"))))</f>
        <v/>
      </c>
    </row>
    <row r="240">
      <c r="A240" s="8" t="n"/>
      <c r="B240" s="9" t="n"/>
      <c r="C240" s="10" t="n"/>
      <c r="D240" s="10" t="n"/>
      <c r="E240" s="10">
        <f>N(C240)-N(D240)</f>
        <v/>
      </c>
      <c r="F240" s="9">
        <f>IF(E240=0,"",TEXT(ABS(E240),"0.00")&amp;"|"&amp;IF(E240&gt;0,"AR","AP"))</f>
        <v/>
      </c>
      <c r="G240" s="9">
        <f>IF(F240="","",COUNTIF(Ledger!$H:$H,F240))</f>
        <v/>
      </c>
      <c r="H240" s="9">
        <f>IF(F240="","",IF(COUNTIF($F:$F,F240)&gt;1,"REVIEW - same amount appears twice",IF(G240=0,"UNMATCHED - no ledger entry",IF(G240&gt;1,"REVIEW - matches several ledger entries","Matched"))))</f>
        <v/>
      </c>
    </row>
    <row r="241">
      <c r="A241" s="8" t="n"/>
      <c r="B241" s="9" t="n"/>
      <c r="C241" s="10" t="n"/>
      <c r="D241" s="10" t="n"/>
      <c r="E241" s="10">
        <f>N(C241)-N(D241)</f>
        <v/>
      </c>
      <c r="F241" s="9">
        <f>IF(E241=0,"",TEXT(ABS(E241),"0.00")&amp;"|"&amp;IF(E241&gt;0,"AR","AP"))</f>
        <v/>
      </c>
      <c r="G241" s="9">
        <f>IF(F241="","",COUNTIF(Ledger!$H:$H,F241))</f>
        <v/>
      </c>
      <c r="H241" s="9">
        <f>IF(F241="","",IF(COUNTIF($F:$F,F241)&gt;1,"REVIEW - same amount appears twice",IF(G241=0,"UNMATCHED - no ledger entry",IF(G241&gt;1,"REVIEW - matches several ledger entries","Matched"))))</f>
        <v/>
      </c>
    </row>
    <row r="242">
      <c r="A242" s="8" t="n"/>
      <c r="B242" s="9" t="n"/>
      <c r="C242" s="10" t="n"/>
      <c r="D242" s="10" t="n"/>
      <c r="E242" s="10">
        <f>N(C242)-N(D242)</f>
        <v/>
      </c>
      <c r="F242" s="9">
        <f>IF(E242=0,"",TEXT(ABS(E242),"0.00")&amp;"|"&amp;IF(E242&gt;0,"AR","AP"))</f>
        <v/>
      </c>
      <c r="G242" s="9">
        <f>IF(F242="","",COUNTIF(Ledger!$H:$H,F242))</f>
        <v/>
      </c>
      <c r="H242" s="9">
        <f>IF(F242="","",IF(COUNTIF($F:$F,F242)&gt;1,"REVIEW - same amount appears twice",IF(G242=0,"UNMATCHED - no ledger entry",IF(G242&gt;1,"REVIEW - matches several ledger entries","Matched"))))</f>
        <v/>
      </c>
    </row>
    <row r="243">
      <c r="A243" s="8" t="n"/>
      <c r="B243" s="9" t="n"/>
      <c r="C243" s="10" t="n"/>
      <c r="D243" s="10" t="n"/>
      <c r="E243" s="10">
        <f>N(C243)-N(D243)</f>
        <v/>
      </c>
      <c r="F243" s="9">
        <f>IF(E243=0,"",TEXT(ABS(E243),"0.00")&amp;"|"&amp;IF(E243&gt;0,"AR","AP"))</f>
        <v/>
      </c>
      <c r="G243" s="9">
        <f>IF(F243="","",COUNTIF(Ledger!$H:$H,F243))</f>
        <v/>
      </c>
      <c r="H243" s="9">
        <f>IF(F243="","",IF(COUNTIF($F:$F,F243)&gt;1,"REVIEW - same amount appears twice",IF(G243=0,"UNMATCHED - no ledger entry",IF(G243&gt;1,"REVIEW - matches several ledger entries","Matched"))))</f>
        <v/>
      </c>
    </row>
    <row r="244">
      <c r="A244" s="8" t="n"/>
      <c r="B244" s="9" t="n"/>
      <c r="C244" s="10" t="n"/>
      <c r="D244" s="10" t="n"/>
      <c r="E244" s="10">
        <f>N(C244)-N(D244)</f>
        <v/>
      </c>
      <c r="F244" s="9">
        <f>IF(E244=0,"",TEXT(ABS(E244),"0.00")&amp;"|"&amp;IF(E244&gt;0,"AR","AP"))</f>
        <v/>
      </c>
      <c r="G244" s="9">
        <f>IF(F244="","",COUNTIF(Ledger!$H:$H,F244))</f>
        <v/>
      </c>
      <c r="H244" s="9">
        <f>IF(F244="","",IF(COUNTIF($F:$F,F244)&gt;1,"REVIEW - same amount appears twice",IF(G244=0,"UNMATCHED - no ledger entry",IF(G244&gt;1,"REVIEW - matches several ledger entries","Matched"))))</f>
        <v/>
      </c>
    </row>
    <row r="245">
      <c r="A245" s="8" t="n"/>
      <c r="B245" s="9" t="n"/>
      <c r="C245" s="10" t="n"/>
      <c r="D245" s="10" t="n"/>
      <c r="E245" s="10">
        <f>N(C245)-N(D245)</f>
        <v/>
      </c>
      <c r="F245" s="9">
        <f>IF(E245=0,"",TEXT(ABS(E245),"0.00")&amp;"|"&amp;IF(E245&gt;0,"AR","AP"))</f>
        <v/>
      </c>
      <c r="G245" s="9">
        <f>IF(F245="","",COUNTIF(Ledger!$H:$H,F245))</f>
        <v/>
      </c>
      <c r="H245" s="9">
        <f>IF(F245="","",IF(COUNTIF($F:$F,F245)&gt;1,"REVIEW - same amount appears twice",IF(G245=0,"UNMATCHED - no ledger entry",IF(G245&gt;1,"REVIEW - matches several ledger entries","Matched"))))</f>
        <v/>
      </c>
    </row>
    <row r="246">
      <c r="A246" s="8" t="n"/>
      <c r="B246" s="9" t="n"/>
      <c r="C246" s="10" t="n"/>
      <c r="D246" s="10" t="n"/>
      <c r="E246" s="10">
        <f>N(C246)-N(D246)</f>
        <v/>
      </c>
      <c r="F246" s="9">
        <f>IF(E246=0,"",TEXT(ABS(E246),"0.00")&amp;"|"&amp;IF(E246&gt;0,"AR","AP"))</f>
        <v/>
      </c>
      <c r="G246" s="9">
        <f>IF(F246="","",COUNTIF(Ledger!$H:$H,F246))</f>
        <v/>
      </c>
      <c r="H246" s="9">
        <f>IF(F246="","",IF(COUNTIF($F:$F,F246)&gt;1,"REVIEW - same amount appears twice",IF(G246=0,"UNMATCHED - no ledger entry",IF(G246&gt;1,"REVIEW - matches several ledger entries","Matched"))))</f>
        <v/>
      </c>
    </row>
    <row r="247">
      <c r="A247" s="8" t="n"/>
      <c r="B247" s="9" t="n"/>
      <c r="C247" s="10" t="n"/>
      <c r="D247" s="10" t="n"/>
      <c r="E247" s="10">
        <f>N(C247)-N(D247)</f>
        <v/>
      </c>
      <c r="F247" s="9">
        <f>IF(E247=0,"",TEXT(ABS(E247),"0.00")&amp;"|"&amp;IF(E247&gt;0,"AR","AP"))</f>
        <v/>
      </c>
      <c r="G247" s="9">
        <f>IF(F247="","",COUNTIF(Ledger!$H:$H,F247))</f>
        <v/>
      </c>
      <c r="H247" s="9">
        <f>IF(F247="","",IF(COUNTIF($F:$F,F247)&gt;1,"REVIEW - same amount appears twice",IF(G247=0,"UNMATCHED - no ledger entry",IF(G247&gt;1,"REVIEW - matches several ledger entries","Matched"))))</f>
        <v/>
      </c>
    </row>
    <row r="248">
      <c r="A248" s="8" t="n"/>
      <c r="B248" s="9" t="n"/>
      <c r="C248" s="10" t="n"/>
      <c r="D248" s="10" t="n"/>
      <c r="E248" s="10">
        <f>N(C248)-N(D248)</f>
        <v/>
      </c>
      <c r="F248" s="9">
        <f>IF(E248=0,"",TEXT(ABS(E248),"0.00")&amp;"|"&amp;IF(E248&gt;0,"AR","AP"))</f>
        <v/>
      </c>
      <c r="G248" s="9">
        <f>IF(F248="","",COUNTIF(Ledger!$H:$H,F248))</f>
        <v/>
      </c>
      <c r="H248" s="9">
        <f>IF(F248="","",IF(COUNTIF($F:$F,F248)&gt;1,"REVIEW - same amount appears twice",IF(G248=0,"UNMATCHED - no ledger entry",IF(G248&gt;1,"REVIEW - matches several ledger entries","Matched"))))</f>
        <v/>
      </c>
    </row>
    <row r="249">
      <c r="A249" s="8" t="n"/>
      <c r="B249" s="9" t="n"/>
      <c r="C249" s="10" t="n"/>
      <c r="D249" s="10" t="n"/>
      <c r="E249" s="10">
        <f>N(C249)-N(D249)</f>
        <v/>
      </c>
      <c r="F249" s="9">
        <f>IF(E249=0,"",TEXT(ABS(E249),"0.00")&amp;"|"&amp;IF(E249&gt;0,"AR","AP"))</f>
        <v/>
      </c>
      <c r="G249" s="9">
        <f>IF(F249="","",COUNTIF(Ledger!$H:$H,F249))</f>
        <v/>
      </c>
      <c r="H249" s="9">
        <f>IF(F249="","",IF(COUNTIF($F:$F,F249)&gt;1,"REVIEW - same amount appears twice",IF(G249=0,"UNMATCHED - no ledger entry",IF(G249&gt;1,"REVIEW - matches several ledger entries","Matched"))))</f>
        <v/>
      </c>
    </row>
    <row r="250">
      <c r="A250" s="8" t="n"/>
      <c r="B250" s="9" t="n"/>
      <c r="C250" s="10" t="n"/>
      <c r="D250" s="10" t="n"/>
      <c r="E250" s="10">
        <f>N(C250)-N(D250)</f>
        <v/>
      </c>
      <c r="F250" s="9">
        <f>IF(E250=0,"",TEXT(ABS(E250),"0.00")&amp;"|"&amp;IF(E250&gt;0,"AR","AP"))</f>
        <v/>
      </c>
      <c r="G250" s="9">
        <f>IF(F250="","",COUNTIF(Ledger!$H:$H,F250))</f>
        <v/>
      </c>
      <c r="H250" s="9">
        <f>IF(F250="","",IF(COUNTIF($F:$F,F250)&gt;1,"REVIEW - same amount appears twice",IF(G250=0,"UNMATCHED - no ledger entry",IF(G250&gt;1,"REVIEW - matches several ledger entries","Matched"))))</f>
        <v/>
      </c>
    </row>
    <row r="251">
      <c r="A251" s="8" t="n"/>
      <c r="B251" s="9" t="n"/>
      <c r="C251" s="10" t="n"/>
      <c r="D251" s="10" t="n"/>
      <c r="E251" s="10">
        <f>N(C251)-N(D251)</f>
        <v/>
      </c>
      <c r="F251" s="9">
        <f>IF(E251=0,"",TEXT(ABS(E251),"0.00")&amp;"|"&amp;IF(E251&gt;0,"AR","AP"))</f>
        <v/>
      </c>
      <c r="G251" s="9">
        <f>IF(F251="","",COUNTIF(Ledger!$H:$H,F251))</f>
        <v/>
      </c>
      <c r="H251" s="9">
        <f>IF(F251="","",IF(COUNTIF($F:$F,F251)&gt;1,"REVIEW - same amount appears twice",IF(G251=0,"UNMATCHED - no ledger entry",IF(G251&gt;1,"REVIEW - matches several ledger entries","Matched"))))</f>
        <v/>
      </c>
    </row>
    <row r="252">
      <c r="A252" s="8" t="n"/>
      <c r="B252" s="9" t="n"/>
      <c r="C252" s="10" t="n"/>
      <c r="D252" s="10" t="n"/>
      <c r="E252" s="10">
        <f>N(C252)-N(D252)</f>
        <v/>
      </c>
      <c r="F252" s="9">
        <f>IF(E252=0,"",TEXT(ABS(E252),"0.00")&amp;"|"&amp;IF(E252&gt;0,"AR","AP"))</f>
        <v/>
      </c>
      <c r="G252" s="9">
        <f>IF(F252="","",COUNTIF(Ledger!$H:$H,F252))</f>
        <v/>
      </c>
      <c r="H252" s="9">
        <f>IF(F252="","",IF(COUNTIF($F:$F,F252)&gt;1,"REVIEW - same amount appears twice",IF(G252=0,"UNMATCHED - no ledger entry",IF(G252&gt;1,"REVIEW - matches several ledger entries","Matched"))))</f>
        <v/>
      </c>
    </row>
    <row r="253">
      <c r="A253" s="8" t="n"/>
      <c r="B253" s="9" t="n"/>
      <c r="C253" s="10" t="n"/>
      <c r="D253" s="10" t="n"/>
      <c r="E253" s="10">
        <f>N(C253)-N(D253)</f>
        <v/>
      </c>
      <c r="F253" s="9">
        <f>IF(E253=0,"",TEXT(ABS(E253),"0.00")&amp;"|"&amp;IF(E253&gt;0,"AR","AP"))</f>
        <v/>
      </c>
      <c r="G253" s="9">
        <f>IF(F253="","",COUNTIF(Ledger!$H:$H,F253))</f>
        <v/>
      </c>
      <c r="H253" s="9">
        <f>IF(F253="","",IF(COUNTIF($F:$F,F253)&gt;1,"REVIEW - same amount appears twice",IF(G253=0,"UNMATCHED - no ledger entry",IF(G253&gt;1,"REVIEW - matches several ledger entries","Matched"))))</f>
        <v/>
      </c>
    </row>
    <row r="254">
      <c r="A254" s="8" t="n"/>
      <c r="B254" s="9" t="n"/>
      <c r="C254" s="10" t="n"/>
      <c r="D254" s="10" t="n"/>
      <c r="E254" s="10">
        <f>N(C254)-N(D254)</f>
        <v/>
      </c>
      <c r="F254" s="9">
        <f>IF(E254=0,"",TEXT(ABS(E254),"0.00")&amp;"|"&amp;IF(E254&gt;0,"AR","AP"))</f>
        <v/>
      </c>
      <c r="G254" s="9">
        <f>IF(F254="","",COUNTIF(Ledger!$H:$H,F254))</f>
        <v/>
      </c>
      <c r="H254" s="9">
        <f>IF(F254="","",IF(COUNTIF($F:$F,F254)&gt;1,"REVIEW - same amount appears twice",IF(G254=0,"UNMATCHED - no ledger entry",IF(G254&gt;1,"REVIEW - matches several ledger entries","Matched"))))</f>
        <v/>
      </c>
    </row>
    <row r="255">
      <c r="A255" s="8" t="n"/>
      <c r="B255" s="9" t="n"/>
      <c r="C255" s="10" t="n"/>
      <c r="D255" s="10" t="n"/>
      <c r="E255" s="10">
        <f>N(C255)-N(D255)</f>
        <v/>
      </c>
      <c r="F255" s="9">
        <f>IF(E255=0,"",TEXT(ABS(E255),"0.00")&amp;"|"&amp;IF(E255&gt;0,"AR","AP"))</f>
        <v/>
      </c>
      <c r="G255" s="9">
        <f>IF(F255="","",COUNTIF(Ledger!$H:$H,F255))</f>
        <v/>
      </c>
      <c r="H255" s="9">
        <f>IF(F255="","",IF(COUNTIF($F:$F,F255)&gt;1,"REVIEW - same amount appears twice",IF(G255=0,"UNMATCHED - no ledger entry",IF(G255&gt;1,"REVIEW - matches several ledger entries","Matched"))))</f>
        <v/>
      </c>
    </row>
    <row r="256">
      <c r="A256" s="8" t="n"/>
      <c r="B256" s="9" t="n"/>
      <c r="C256" s="10" t="n"/>
      <c r="D256" s="10" t="n"/>
      <c r="E256" s="10">
        <f>N(C256)-N(D256)</f>
        <v/>
      </c>
      <c r="F256" s="9">
        <f>IF(E256=0,"",TEXT(ABS(E256),"0.00")&amp;"|"&amp;IF(E256&gt;0,"AR","AP"))</f>
        <v/>
      </c>
      <c r="G256" s="9">
        <f>IF(F256="","",COUNTIF(Ledger!$H:$H,F256))</f>
        <v/>
      </c>
      <c r="H256" s="9">
        <f>IF(F256="","",IF(COUNTIF($F:$F,F256)&gt;1,"REVIEW - same amount appears twice",IF(G256=0,"UNMATCHED - no ledger entry",IF(G256&gt;1,"REVIEW - matches several ledger entries","Matched"))))</f>
        <v/>
      </c>
    </row>
    <row r="257">
      <c r="A257" s="8" t="n"/>
      <c r="B257" s="9" t="n"/>
      <c r="C257" s="10" t="n"/>
      <c r="D257" s="10" t="n"/>
      <c r="E257" s="10">
        <f>N(C257)-N(D257)</f>
        <v/>
      </c>
      <c r="F257" s="9">
        <f>IF(E257=0,"",TEXT(ABS(E257),"0.00")&amp;"|"&amp;IF(E257&gt;0,"AR","AP"))</f>
        <v/>
      </c>
      <c r="G257" s="9">
        <f>IF(F257="","",COUNTIF(Ledger!$H:$H,F257))</f>
        <v/>
      </c>
      <c r="H257" s="9">
        <f>IF(F257="","",IF(COUNTIF($F:$F,F257)&gt;1,"REVIEW - same amount appears twice",IF(G257=0,"UNMATCHED - no ledger entry",IF(G257&gt;1,"REVIEW - matches several ledger entries","Matched"))))</f>
        <v/>
      </c>
    </row>
    <row r="258">
      <c r="A258" s="8" t="n"/>
      <c r="B258" s="9" t="n"/>
      <c r="C258" s="10" t="n"/>
      <c r="D258" s="10" t="n"/>
      <c r="E258" s="10">
        <f>N(C258)-N(D258)</f>
        <v/>
      </c>
      <c r="F258" s="9">
        <f>IF(E258=0,"",TEXT(ABS(E258),"0.00")&amp;"|"&amp;IF(E258&gt;0,"AR","AP"))</f>
        <v/>
      </c>
      <c r="G258" s="9">
        <f>IF(F258="","",COUNTIF(Ledger!$H:$H,F258))</f>
        <v/>
      </c>
      <c r="H258" s="9">
        <f>IF(F258="","",IF(COUNTIF($F:$F,F258)&gt;1,"REVIEW - same amount appears twice",IF(G258=0,"UNMATCHED - no ledger entry",IF(G258&gt;1,"REVIEW - matches several ledger entries","Matched"))))</f>
        <v/>
      </c>
    </row>
    <row r="259">
      <c r="A259" s="8" t="n"/>
      <c r="B259" s="9" t="n"/>
      <c r="C259" s="10" t="n"/>
      <c r="D259" s="10" t="n"/>
      <c r="E259" s="10">
        <f>N(C259)-N(D259)</f>
        <v/>
      </c>
      <c r="F259" s="9">
        <f>IF(E259=0,"",TEXT(ABS(E259),"0.00")&amp;"|"&amp;IF(E259&gt;0,"AR","AP"))</f>
        <v/>
      </c>
      <c r="G259" s="9">
        <f>IF(F259="","",COUNTIF(Ledger!$H:$H,F259))</f>
        <v/>
      </c>
      <c r="H259" s="9">
        <f>IF(F259="","",IF(COUNTIF($F:$F,F259)&gt;1,"REVIEW - same amount appears twice",IF(G259=0,"UNMATCHED - no ledger entry",IF(G259&gt;1,"REVIEW - matches several ledger entries","Matched"))))</f>
        <v/>
      </c>
    </row>
    <row r="260">
      <c r="A260" s="8" t="n"/>
      <c r="B260" s="9" t="n"/>
      <c r="C260" s="10" t="n"/>
      <c r="D260" s="10" t="n"/>
      <c r="E260" s="10">
        <f>N(C260)-N(D260)</f>
        <v/>
      </c>
      <c r="F260" s="9">
        <f>IF(E260=0,"",TEXT(ABS(E260),"0.00")&amp;"|"&amp;IF(E260&gt;0,"AR","AP"))</f>
        <v/>
      </c>
      <c r="G260" s="9">
        <f>IF(F260="","",COUNTIF(Ledger!$H:$H,F260))</f>
        <v/>
      </c>
      <c r="H260" s="9">
        <f>IF(F260="","",IF(COUNTIF($F:$F,F260)&gt;1,"REVIEW - same amount appears twice",IF(G260=0,"UNMATCHED - no ledger entry",IF(G260&gt;1,"REVIEW - matches several ledger entries","Matched"))))</f>
        <v/>
      </c>
    </row>
    <row r="261">
      <c r="A261" s="8" t="n"/>
      <c r="B261" s="9" t="n"/>
      <c r="C261" s="10" t="n"/>
      <c r="D261" s="10" t="n"/>
      <c r="E261" s="10">
        <f>N(C261)-N(D261)</f>
        <v/>
      </c>
      <c r="F261" s="9">
        <f>IF(E261=0,"",TEXT(ABS(E261),"0.00")&amp;"|"&amp;IF(E261&gt;0,"AR","AP"))</f>
        <v/>
      </c>
      <c r="G261" s="9">
        <f>IF(F261="","",COUNTIF(Ledger!$H:$H,F261))</f>
        <v/>
      </c>
      <c r="H261" s="9">
        <f>IF(F261="","",IF(COUNTIF($F:$F,F261)&gt;1,"REVIEW - same amount appears twice",IF(G261=0,"UNMATCHED - no ledger entry",IF(G261&gt;1,"REVIEW - matches several ledger entries","Matched"))))</f>
        <v/>
      </c>
    </row>
    <row r="262">
      <c r="A262" s="8" t="n"/>
      <c r="B262" s="9" t="n"/>
      <c r="C262" s="10" t="n"/>
      <c r="D262" s="10" t="n"/>
      <c r="E262" s="10">
        <f>N(C262)-N(D262)</f>
        <v/>
      </c>
      <c r="F262" s="9">
        <f>IF(E262=0,"",TEXT(ABS(E262),"0.00")&amp;"|"&amp;IF(E262&gt;0,"AR","AP"))</f>
        <v/>
      </c>
      <c r="G262" s="9">
        <f>IF(F262="","",COUNTIF(Ledger!$H:$H,F262))</f>
        <v/>
      </c>
      <c r="H262" s="9">
        <f>IF(F262="","",IF(COUNTIF($F:$F,F262)&gt;1,"REVIEW - same amount appears twice",IF(G262=0,"UNMATCHED - no ledger entry",IF(G262&gt;1,"REVIEW - matches several ledger entries","Matched"))))</f>
        <v/>
      </c>
    </row>
    <row r="263">
      <c r="A263" s="8" t="n"/>
      <c r="B263" s="9" t="n"/>
      <c r="C263" s="10" t="n"/>
      <c r="D263" s="10" t="n"/>
      <c r="E263" s="10">
        <f>N(C263)-N(D263)</f>
        <v/>
      </c>
      <c r="F263" s="9">
        <f>IF(E263=0,"",TEXT(ABS(E263),"0.00")&amp;"|"&amp;IF(E263&gt;0,"AR","AP"))</f>
        <v/>
      </c>
      <c r="G263" s="9">
        <f>IF(F263="","",COUNTIF(Ledger!$H:$H,F263))</f>
        <v/>
      </c>
      <c r="H263" s="9">
        <f>IF(F263="","",IF(COUNTIF($F:$F,F263)&gt;1,"REVIEW - same amount appears twice",IF(G263=0,"UNMATCHED - no ledger entry",IF(G263&gt;1,"REVIEW - matches several ledger entries","Matched"))))</f>
        <v/>
      </c>
    </row>
    <row r="264">
      <c r="A264" s="8" t="n"/>
      <c r="B264" s="9" t="n"/>
      <c r="C264" s="10" t="n"/>
      <c r="D264" s="10" t="n"/>
      <c r="E264" s="10">
        <f>N(C264)-N(D264)</f>
        <v/>
      </c>
      <c r="F264" s="9">
        <f>IF(E264=0,"",TEXT(ABS(E264),"0.00")&amp;"|"&amp;IF(E264&gt;0,"AR","AP"))</f>
        <v/>
      </c>
      <c r="G264" s="9">
        <f>IF(F264="","",COUNTIF(Ledger!$H:$H,F264))</f>
        <v/>
      </c>
      <c r="H264" s="9">
        <f>IF(F264="","",IF(COUNTIF($F:$F,F264)&gt;1,"REVIEW - same amount appears twice",IF(G264=0,"UNMATCHED - no ledger entry",IF(G264&gt;1,"REVIEW - matches several ledger entries","Matched"))))</f>
        <v/>
      </c>
    </row>
    <row r="265">
      <c r="A265" s="8" t="n"/>
      <c r="B265" s="9" t="n"/>
      <c r="C265" s="10" t="n"/>
      <c r="D265" s="10" t="n"/>
      <c r="E265" s="10">
        <f>N(C265)-N(D265)</f>
        <v/>
      </c>
      <c r="F265" s="9">
        <f>IF(E265=0,"",TEXT(ABS(E265),"0.00")&amp;"|"&amp;IF(E265&gt;0,"AR","AP"))</f>
        <v/>
      </c>
      <c r="G265" s="9">
        <f>IF(F265="","",COUNTIF(Ledger!$H:$H,F265))</f>
        <v/>
      </c>
      <c r="H265" s="9">
        <f>IF(F265="","",IF(COUNTIF($F:$F,F265)&gt;1,"REVIEW - same amount appears twice",IF(G265=0,"UNMATCHED - no ledger entry",IF(G265&gt;1,"REVIEW - matches several ledger entries","Matched"))))</f>
        <v/>
      </c>
    </row>
    <row r="266">
      <c r="A266" s="8" t="n"/>
      <c r="B266" s="9" t="n"/>
      <c r="C266" s="10" t="n"/>
      <c r="D266" s="10" t="n"/>
      <c r="E266" s="10">
        <f>N(C266)-N(D266)</f>
        <v/>
      </c>
      <c r="F266" s="9">
        <f>IF(E266=0,"",TEXT(ABS(E266),"0.00")&amp;"|"&amp;IF(E266&gt;0,"AR","AP"))</f>
        <v/>
      </c>
      <c r="G266" s="9">
        <f>IF(F266="","",COUNTIF(Ledger!$H:$H,F266))</f>
        <v/>
      </c>
      <c r="H266" s="9">
        <f>IF(F266="","",IF(COUNTIF($F:$F,F266)&gt;1,"REVIEW - same amount appears twice",IF(G266=0,"UNMATCHED - no ledger entry",IF(G266&gt;1,"REVIEW - matches several ledger entries","Matched"))))</f>
        <v/>
      </c>
    </row>
    <row r="267">
      <c r="A267" s="8" t="n"/>
      <c r="B267" s="9" t="n"/>
      <c r="C267" s="10" t="n"/>
      <c r="D267" s="10" t="n"/>
      <c r="E267" s="10">
        <f>N(C267)-N(D267)</f>
        <v/>
      </c>
      <c r="F267" s="9">
        <f>IF(E267=0,"",TEXT(ABS(E267),"0.00")&amp;"|"&amp;IF(E267&gt;0,"AR","AP"))</f>
        <v/>
      </c>
      <c r="G267" s="9">
        <f>IF(F267="","",COUNTIF(Ledger!$H:$H,F267))</f>
        <v/>
      </c>
      <c r="H267" s="9">
        <f>IF(F267="","",IF(COUNTIF($F:$F,F267)&gt;1,"REVIEW - same amount appears twice",IF(G267=0,"UNMATCHED - no ledger entry",IF(G267&gt;1,"REVIEW - matches several ledger entries","Matched"))))</f>
        <v/>
      </c>
    </row>
    <row r="268">
      <c r="A268" s="8" t="n"/>
      <c r="B268" s="9" t="n"/>
      <c r="C268" s="10" t="n"/>
      <c r="D268" s="10" t="n"/>
      <c r="E268" s="10">
        <f>N(C268)-N(D268)</f>
        <v/>
      </c>
      <c r="F268" s="9">
        <f>IF(E268=0,"",TEXT(ABS(E268),"0.00")&amp;"|"&amp;IF(E268&gt;0,"AR","AP"))</f>
        <v/>
      </c>
      <c r="G268" s="9">
        <f>IF(F268="","",COUNTIF(Ledger!$H:$H,F268))</f>
        <v/>
      </c>
      <c r="H268" s="9">
        <f>IF(F268="","",IF(COUNTIF($F:$F,F268)&gt;1,"REVIEW - same amount appears twice",IF(G268=0,"UNMATCHED - no ledger entry",IF(G268&gt;1,"REVIEW - matches several ledger entries","Matched"))))</f>
        <v/>
      </c>
    </row>
    <row r="269">
      <c r="A269" s="8" t="n"/>
      <c r="B269" s="9" t="n"/>
      <c r="C269" s="10" t="n"/>
      <c r="D269" s="10" t="n"/>
      <c r="E269" s="10">
        <f>N(C269)-N(D269)</f>
        <v/>
      </c>
      <c r="F269" s="9">
        <f>IF(E269=0,"",TEXT(ABS(E269),"0.00")&amp;"|"&amp;IF(E269&gt;0,"AR","AP"))</f>
        <v/>
      </c>
      <c r="G269" s="9">
        <f>IF(F269="","",COUNTIF(Ledger!$H:$H,F269))</f>
        <v/>
      </c>
      <c r="H269" s="9">
        <f>IF(F269="","",IF(COUNTIF($F:$F,F269)&gt;1,"REVIEW - same amount appears twice",IF(G269=0,"UNMATCHED - no ledger entry",IF(G269&gt;1,"REVIEW - matches several ledger entries","Matched"))))</f>
        <v/>
      </c>
    </row>
    <row r="270">
      <c r="A270" s="8" t="n"/>
      <c r="B270" s="9" t="n"/>
      <c r="C270" s="10" t="n"/>
      <c r="D270" s="10" t="n"/>
      <c r="E270" s="10">
        <f>N(C270)-N(D270)</f>
        <v/>
      </c>
      <c r="F270" s="9">
        <f>IF(E270=0,"",TEXT(ABS(E270),"0.00")&amp;"|"&amp;IF(E270&gt;0,"AR","AP"))</f>
        <v/>
      </c>
      <c r="G270" s="9">
        <f>IF(F270="","",COUNTIF(Ledger!$H:$H,F270))</f>
        <v/>
      </c>
      <c r="H270" s="9">
        <f>IF(F270="","",IF(COUNTIF($F:$F,F270)&gt;1,"REVIEW - same amount appears twice",IF(G270=0,"UNMATCHED - no ledger entry",IF(G270&gt;1,"REVIEW - matches several ledger entries","Matched"))))</f>
        <v/>
      </c>
    </row>
    <row r="271">
      <c r="A271" s="8" t="n"/>
      <c r="B271" s="9" t="n"/>
      <c r="C271" s="10" t="n"/>
      <c r="D271" s="10" t="n"/>
      <c r="E271" s="10">
        <f>N(C271)-N(D271)</f>
        <v/>
      </c>
      <c r="F271" s="9">
        <f>IF(E271=0,"",TEXT(ABS(E271),"0.00")&amp;"|"&amp;IF(E271&gt;0,"AR","AP"))</f>
        <v/>
      </c>
      <c r="G271" s="9">
        <f>IF(F271="","",COUNTIF(Ledger!$H:$H,F271))</f>
        <v/>
      </c>
      <c r="H271" s="9">
        <f>IF(F271="","",IF(COUNTIF($F:$F,F271)&gt;1,"REVIEW - same amount appears twice",IF(G271=0,"UNMATCHED - no ledger entry",IF(G271&gt;1,"REVIEW - matches several ledger entries","Matched"))))</f>
        <v/>
      </c>
    </row>
    <row r="272">
      <c r="A272" s="8" t="n"/>
      <c r="B272" s="9" t="n"/>
      <c r="C272" s="10" t="n"/>
      <c r="D272" s="10" t="n"/>
      <c r="E272" s="10">
        <f>N(C272)-N(D272)</f>
        <v/>
      </c>
      <c r="F272" s="9">
        <f>IF(E272=0,"",TEXT(ABS(E272),"0.00")&amp;"|"&amp;IF(E272&gt;0,"AR","AP"))</f>
        <v/>
      </c>
      <c r="G272" s="9">
        <f>IF(F272="","",COUNTIF(Ledger!$H:$H,F272))</f>
        <v/>
      </c>
      <c r="H272" s="9">
        <f>IF(F272="","",IF(COUNTIF($F:$F,F272)&gt;1,"REVIEW - same amount appears twice",IF(G272=0,"UNMATCHED - no ledger entry",IF(G272&gt;1,"REVIEW - matches several ledger entries","Matched"))))</f>
        <v/>
      </c>
    </row>
    <row r="273">
      <c r="A273" s="8" t="n"/>
      <c r="B273" s="9" t="n"/>
      <c r="C273" s="10" t="n"/>
      <c r="D273" s="10" t="n"/>
      <c r="E273" s="10">
        <f>N(C273)-N(D273)</f>
        <v/>
      </c>
      <c r="F273" s="9">
        <f>IF(E273=0,"",TEXT(ABS(E273),"0.00")&amp;"|"&amp;IF(E273&gt;0,"AR","AP"))</f>
        <v/>
      </c>
      <c r="G273" s="9">
        <f>IF(F273="","",COUNTIF(Ledger!$H:$H,F273))</f>
        <v/>
      </c>
      <c r="H273" s="9">
        <f>IF(F273="","",IF(COUNTIF($F:$F,F273)&gt;1,"REVIEW - same amount appears twice",IF(G273=0,"UNMATCHED - no ledger entry",IF(G273&gt;1,"REVIEW - matches several ledger entries","Matched"))))</f>
        <v/>
      </c>
    </row>
    <row r="274">
      <c r="A274" s="8" t="n"/>
      <c r="B274" s="9" t="n"/>
      <c r="C274" s="10" t="n"/>
      <c r="D274" s="10" t="n"/>
      <c r="E274" s="10">
        <f>N(C274)-N(D274)</f>
        <v/>
      </c>
      <c r="F274" s="9">
        <f>IF(E274=0,"",TEXT(ABS(E274),"0.00")&amp;"|"&amp;IF(E274&gt;0,"AR","AP"))</f>
        <v/>
      </c>
      <c r="G274" s="9">
        <f>IF(F274="","",COUNTIF(Ledger!$H:$H,F274))</f>
        <v/>
      </c>
      <c r="H274" s="9">
        <f>IF(F274="","",IF(COUNTIF($F:$F,F274)&gt;1,"REVIEW - same amount appears twice",IF(G274=0,"UNMATCHED - no ledger entry",IF(G274&gt;1,"REVIEW - matches several ledger entries","Matched"))))</f>
        <v/>
      </c>
    </row>
    <row r="275">
      <c r="A275" s="8" t="n"/>
      <c r="B275" s="9" t="n"/>
      <c r="C275" s="10" t="n"/>
      <c r="D275" s="10" t="n"/>
      <c r="E275" s="10">
        <f>N(C275)-N(D275)</f>
        <v/>
      </c>
      <c r="F275" s="9">
        <f>IF(E275=0,"",TEXT(ABS(E275),"0.00")&amp;"|"&amp;IF(E275&gt;0,"AR","AP"))</f>
        <v/>
      </c>
      <c r="G275" s="9">
        <f>IF(F275="","",COUNTIF(Ledger!$H:$H,F275))</f>
        <v/>
      </c>
      <c r="H275" s="9">
        <f>IF(F275="","",IF(COUNTIF($F:$F,F275)&gt;1,"REVIEW - same amount appears twice",IF(G275=0,"UNMATCHED - no ledger entry",IF(G275&gt;1,"REVIEW - matches several ledger entries","Matched"))))</f>
        <v/>
      </c>
    </row>
    <row r="276">
      <c r="A276" s="8" t="n"/>
      <c r="B276" s="9" t="n"/>
      <c r="C276" s="10" t="n"/>
      <c r="D276" s="10" t="n"/>
      <c r="E276" s="10">
        <f>N(C276)-N(D276)</f>
        <v/>
      </c>
      <c r="F276" s="9">
        <f>IF(E276=0,"",TEXT(ABS(E276),"0.00")&amp;"|"&amp;IF(E276&gt;0,"AR","AP"))</f>
        <v/>
      </c>
      <c r="G276" s="9">
        <f>IF(F276="","",COUNTIF(Ledger!$H:$H,F276))</f>
        <v/>
      </c>
      <c r="H276" s="9">
        <f>IF(F276="","",IF(COUNTIF($F:$F,F276)&gt;1,"REVIEW - same amount appears twice",IF(G276=0,"UNMATCHED - no ledger entry",IF(G276&gt;1,"REVIEW - matches several ledger entries","Matched"))))</f>
        <v/>
      </c>
    </row>
    <row r="277">
      <c r="A277" s="8" t="n"/>
      <c r="B277" s="9" t="n"/>
      <c r="C277" s="10" t="n"/>
      <c r="D277" s="10" t="n"/>
      <c r="E277" s="10">
        <f>N(C277)-N(D277)</f>
        <v/>
      </c>
      <c r="F277" s="9">
        <f>IF(E277=0,"",TEXT(ABS(E277),"0.00")&amp;"|"&amp;IF(E277&gt;0,"AR","AP"))</f>
        <v/>
      </c>
      <c r="G277" s="9">
        <f>IF(F277="","",COUNTIF(Ledger!$H:$H,F277))</f>
        <v/>
      </c>
      <c r="H277" s="9">
        <f>IF(F277="","",IF(COUNTIF($F:$F,F277)&gt;1,"REVIEW - same amount appears twice",IF(G277=0,"UNMATCHED - no ledger entry",IF(G277&gt;1,"REVIEW - matches several ledger entries","Matched"))))</f>
        <v/>
      </c>
    </row>
    <row r="278">
      <c r="A278" s="8" t="n"/>
      <c r="B278" s="9" t="n"/>
      <c r="C278" s="10" t="n"/>
      <c r="D278" s="10" t="n"/>
      <c r="E278" s="10">
        <f>N(C278)-N(D278)</f>
        <v/>
      </c>
      <c r="F278" s="9">
        <f>IF(E278=0,"",TEXT(ABS(E278),"0.00")&amp;"|"&amp;IF(E278&gt;0,"AR","AP"))</f>
        <v/>
      </c>
      <c r="G278" s="9">
        <f>IF(F278="","",COUNTIF(Ledger!$H:$H,F278))</f>
        <v/>
      </c>
      <c r="H278" s="9">
        <f>IF(F278="","",IF(COUNTIF($F:$F,F278)&gt;1,"REVIEW - same amount appears twice",IF(G278=0,"UNMATCHED - no ledger entry",IF(G278&gt;1,"REVIEW - matches several ledger entries","Matched"))))</f>
        <v/>
      </c>
    </row>
    <row r="279">
      <c r="A279" s="8" t="n"/>
      <c r="B279" s="9" t="n"/>
      <c r="C279" s="10" t="n"/>
      <c r="D279" s="10" t="n"/>
      <c r="E279" s="10">
        <f>N(C279)-N(D279)</f>
        <v/>
      </c>
      <c r="F279" s="9">
        <f>IF(E279=0,"",TEXT(ABS(E279),"0.00")&amp;"|"&amp;IF(E279&gt;0,"AR","AP"))</f>
        <v/>
      </c>
      <c r="G279" s="9">
        <f>IF(F279="","",COUNTIF(Ledger!$H:$H,F279))</f>
        <v/>
      </c>
      <c r="H279" s="9">
        <f>IF(F279="","",IF(COUNTIF($F:$F,F279)&gt;1,"REVIEW - same amount appears twice",IF(G279=0,"UNMATCHED - no ledger entry",IF(G279&gt;1,"REVIEW - matches several ledger entries","Matched"))))</f>
        <v/>
      </c>
    </row>
    <row r="280">
      <c r="A280" s="8" t="n"/>
      <c r="B280" s="9" t="n"/>
      <c r="C280" s="10" t="n"/>
      <c r="D280" s="10" t="n"/>
      <c r="E280" s="10">
        <f>N(C280)-N(D280)</f>
        <v/>
      </c>
      <c r="F280" s="9">
        <f>IF(E280=0,"",TEXT(ABS(E280),"0.00")&amp;"|"&amp;IF(E280&gt;0,"AR","AP"))</f>
        <v/>
      </c>
      <c r="G280" s="9">
        <f>IF(F280="","",COUNTIF(Ledger!$H:$H,F280))</f>
        <v/>
      </c>
      <c r="H280" s="9">
        <f>IF(F280="","",IF(COUNTIF($F:$F,F280)&gt;1,"REVIEW - same amount appears twice",IF(G280=0,"UNMATCHED - no ledger entry",IF(G280&gt;1,"REVIEW - matches several ledger entries","Matched"))))</f>
        <v/>
      </c>
    </row>
    <row r="281">
      <c r="A281" s="8" t="n"/>
      <c r="B281" s="9" t="n"/>
      <c r="C281" s="10" t="n"/>
      <c r="D281" s="10" t="n"/>
      <c r="E281" s="10">
        <f>N(C281)-N(D281)</f>
        <v/>
      </c>
      <c r="F281" s="9">
        <f>IF(E281=0,"",TEXT(ABS(E281),"0.00")&amp;"|"&amp;IF(E281&gt;0,"AR","AP"))</f>
        <v/>
      </c>
      <c r="G281" s="9">
        <f>IF(F281="","",COUNTIF(Ledger!$H:$H,F281))</f>
        <v/>
      </c>
      <c r="H281" s="9">
        <f>IF(F281="","",IF(COUNTIF($F:$F,F281)&gt;1,"REVIEW - same amount appears twice",IF(G281=0,"UNMATCHED - no ledger entry",IF(G281&gt;1,"REVIEW - matches several ledger entries","Matched"))))</f>
        <v/>
      </c>
    </row>
    <row r="282">
      <c r="A282" s="8" t="n"/>
      <c r="B282" s="9" t="n"/>
      <c r="C282" s="10" t="n"/>
      <c r="D282" s="10" t="n"/>
      <c r="E282" s="10">
        <f>N(C282)-N(D282)</f>
        <v/>
      </c>
      <c r="F282" s="9">
        <f>IF(E282=0,"",TEXT(ABS(E282),"0.00")&amp;"|"&amp;IF(E282&gt;0,"AR","AP"))</f>
        <v/>
      </c>
      <c r="G282" s="9">
        <f>IF(F282="","",COUNTIF(Ledger!$H:$H,F282))</f>
        <v/>
      </c>
      <c r="H282" s="9">
        <f>IF(F282="","",IF(COUNTIF($F:$F,F282)&gt;1,"REVIEW - same amount appears twice",IF(G282=0,"UNMATCHED - no ledger entry",IF(G282&gt;1,"REVIEW - matches several ledger entries","Matched"))))</f>
        <v/>
      </c>
    </row>
    <row r="283">
      <c r="A283" s="8" t="n"/>
      <c r="B283" s="9" t="n"/>
      <c r="C283" s="10" t="n"/>
      <c r="D283" s="10" t="n"/>
      <c r="E283" s="10">
        <f>N(C283)-N(D283)</f>
        <v/>
      </c>
      <c r="F283" s="9">
        <f>IF(E283=0,"",TEXT(ABS(E283),"0.00")&amp;"|"&amp;IF(E283&gt;0,"AR","AP"))</f>
        <v/>
      </c>
      <c r="G283" s="9">
        <f>IF(F283="","",COUNTIF(Ledger!$H:$H,F283))</f>
        <v/>
      </c>
      <c r="H283" s="9">
        <f>IF(F283="","",IF(COUNTIF($F:$F,F283)&gt;1,"REVIEW - same amount appears twice",IF(G283=0,"UNMATCHED - no ledger entry",IF(G283&gt;1,"REVIEW - matches several ledger entries","Matched"))))</f>
        <v/>
      </c>
    </row>
    <row r="284">
      <c r="A284" s="8" t="n"/>
      <c r="B284" s="9" t="n"/>
      <c r="C284" s="10" t="n"/>
      <c r="D284" s="10" t="n"/>
      <c r="E284" s="10">
        <f>N(C284)-N(D284)</f>
        <v/>
      </c>
      <c r="F284" s="9">
        <f>IF(E284=0,"",TEXT(ABS(E284),"0.00")&amp;"|"&amp;IF(E284&gt;0,"AR","AP"))</f>
        <v/>
      </c>
      <c r="G284" s="9">
        <f>IF(F284="","",COUNTIF(Ledger!$H:$H,F284))</f>
        <v/>
      </c>
      <c r="H284" s="9">
        <f>IF(F284="","",IF(COUNTIF($F:$F,F284)&gt;1,"REVIEW - same amount appears twice",IF(G284=0,"UNMATCHED - no ledger entry",IF(G284&gt;1,"REVIEW - matches several ledger entries","Matched"))))</f>
        <v/>
      </c>
    </row>
    <row r="285">
      <c r="A285" s="8" t="n"/>
      <c r="B285" s="9" t="n"/>
      <c r="C285" s="10" t="n"/>
      <c r="D285" s="10" t="n"/>
      <c r="E285" s="10">
        <f>N(C285)-N(D285)</f>
        <v/>
      </c>
      <c r="F285" s="9">
        <f>IF(E285=0,"",TEXT(ABS(E285),"0.00")&amp;"|"&amp;IF(E285&gt;0,"AR","AP"))</f>
        <v/>
      </c>
      <c r="G285" s="9">
        <f>IF(F285="","",COUNTIF(Ledger!$H:$H,F285))</f>
        <v/>
      </c>
      <c r="H285" s="9">
        <f>IF(F285="","",IF(COUNTIF($F:$F,F285)&gt;1,"REVIEW - same amount appears twice",IF(G285=0,"UNMATCHED - no ledger entry",IF(G285&gt;1,"REVIEW - matches several ledger entries","Matched"))))</f>
        <v/>
      </c>
    </row>
    <row r="286">
      <c r="A286" s="8" t="n"/>
      <c r="B286" s="9" t="n"/>
      <c r="C286" s="10" t="n"/>
      <c r="D286" s="10" t="n"/>
      <c r="E286" s="10">
        <f>N(C286)-N(D286)</f>
        <v/>
      </c>
      <c r="F286" s="9">
        <f>IF(E286=0,"",TEXT(ABS(E286),"0.00")&amp;"|"&amp;IF(E286&gt;0,"AR","AP"))</f>
        <v/>
      </c>
      <c r="G286" s="9">
        <f>IF(F286="","",COUNTIF(Ledger!$H:$H,F286))</f>
        <v/>
      </c>
      <c r="H286" s="9">
        <f>IF(F286="","",IF(COUNTIF($F:$F,F286)&gt;1,"REVIEW - same amount appears twice",IF(G286=0,"UNMATCHED - no ledger entry",IF(G286&gt;1,"REVIEW - matches several ledger entries","Matched"))))</f>
        <v/>
      </c>
    </row>
    <row r="287">
      <c r="A287" s="8" t="n"/>
      <c r="B287" s="9" t="n"/>
      <c r="C287" s="10" t="n"/>
      <c r="D287" s="10" t="n"/>
      <c r="E287" s="10">
        <f>N(C287)-N(D287)</f>
        <v/>
      </c>
      <c r="F287" s="9">
        <f>IF(E287=0,"",TEXT(ABS(E287),"0.00")&amp;"|"&amp;IF(E287&gt;0,"AR","AP"))</f>
        <v/>
      </c>
      <c r="G287" s="9">
        <f>IF(F287="","",COUNTIF(Ledger!$H:$H,F287))</f>
        <v/>
      </c>
      <c r="H287" s="9">
        <f>IF(F287="","",IF(COUNTIF($F:$F,F287)&gt;1,"REVIEW - same amount appears twice",IF(G287=0,"UNMATCHED - no ledger entry",IF(G287&gt;1,"REVIEW - matches several ledger entries","Matched"))))</f>
        <v/>
      </c>
    </row>
    <row r="288">
      <c r="A288" s="8" t="n"/>
      <c r="B288" s="9" t="n"/>
      <c r="C288" s="10" t="n"/>
      <c r="D288" s="10" t="n"/>
      <c r="E288" s="10">
        <f>N(C288)-N(D288)</f>
        <v/>
      </c>
      <c r="F288" s="9">
        <f>IF(E288=0,"",TEXT(ABS(E288),"0.00")&amp;"|"&amp;IF(E288&gt;0,"AR","AP"))</f>
        <v/>
      </c>
      <c r="G288" s="9">
        <f>IF(F288="","",COUNTIF(Ledger!$H:$H,F288))</f>
        <v/>
      </c>
      <c r="H288" s="9">
        <f>IF(F288="","",IF(COUNTIF($F:$F,F288)&gt;1,"REVIEW - same amount appears twice",IF(G288=0,"UNMATCHED - no ledger entry",IF(G288&gt;1,"REVIEW - matches several ledger entries","Matched"))))</f>
        <v/>
      </c>
    </row>
    <row r="289">
      <c r="A289" s="8" t="n"/>
      <c r="B289" s="9" t="n"/>
      <c r="C289" s="10" t="n"/>
      <c r="D289" s="10" t="n"/>
      <c r="E289" s="10">
        <f>N(C289)-N(D289)</f>
        <v/>
      </c>
      <c r="F289" s="9">
        <f>IF(E289=0,"",TEXT(ABS(E289),"0.00")&amp;"|"&amp;IF(E289&gt;0,"AR","AP"))</f>
        <v/>
      </c>
      <c r="G289" s="9">
        <f>IF(F289="","",COUNTIF(Ledger!$H:$H,F289))</f>
        <v/>
      </c>
      <c r="H289" s="9">
        <f>IF(F289="","",IF(COUNTIF($F:$F,F289)&gt;1,"REVIEW - same amount appears twice",IF(G289=0,"UNMATCHED - no ledger entry",IF(G289&gt;1,"REVIEW - matches several ledger entries","Matched"))))</f>
        <v/>
      </c>
    </row>
    <row r="290">
      <c r="A290" s="8" t="n"/>
      <c r="B290" s="9" t="n"/>
      <c r="C290" s="10" t="n"/>
      <c r="D290" s="10" t="n"/>
      <c r="E290" s="10">
        <f>N(C290)-N(D290)</f>
        <v/>
      </c>
      <c r="F290" s="9">
        <f>IF(E290=0,"",TEXT(ABS(E290),"0.00")&amp;"|"&amp;IF(E290&gt;0,"AR","AP"))</f>
        <v/>
      </c>
      <c r="G290" s="9">
        <f>IF(F290="","",COUNTIF(Ledger!$H:$H,F290))</f>
        <v/>
      </c>
      <c r="H290" s="9">
        <f>IF(F290="","",IF(COUNTIF($F:$F,F290)&gt;1,"REVIEW - same amount appears twice",IF(G290=0,"UNMATCHED - no ledger entry",IF(G290&gt;1,"REVIEW - matches several ledger entries","Matched"))))</f>
        <v/>
      </c>
    </row>
    <row r="291">
      <c r="A291" s="8" t="n"/>
      <c r="B291" s="9" t="n"/>
      <c r="C291" s="10" t="n"/>
      <c r="D291" s="10" t="n"/>
      <c r="E291" s="10">
        <f>N(C291)-N(D291)</f>
        <v/>
      </c>
      <c r="F291" s="9">
        <f>IF(E291=0,"",TEXT(ABS(E291),"0.00")&amp;"|"&amp;IF(E291&gt;0,"AR","AP"))</f>
        <v/>
      </c>
      <c r="G291" s="9">
        <f>IF(F291="","",COUNTIF(Ledger!$H:$H,F291))</f>
        <v/>
      </c>
      <c r="H291" s="9">
        <f>IF(F291="","",IF(COUNTIF($F:$F,F291)&gt;1,"REVIEW - same amount appears twice",IF(G291=0,"UNMATCHED - no ledger entry",IF(G291&gt;1,"REVIEW - matches several ledger entries","Matched"))))</f>
        <v/>
      </c>
    </row>
    <row r="292">
      <c r="A292" s="8" t="n"/>
      <c r="B292" s="9" t="n"/>
      <c r="C292" s="10" t="n"/>
      <c r="D292" s="10" t="n"/>
      <c r="E292" s="10">
        <f>N(C292)-N(D292)</f>
        <v/>
      </c>
      <c r="F292" s="9">
        <f>IF(E292=0,"",TEXT(ABS(E292),"0.00")&amp;"|"&amp;IF(E292&gt;0,"AR","AP"))</f>
        <v/>
      </c>
      <c r="G292" s="9">
        <f>IF(F292="","",COUNTIF(Ledger!$H:$H,F292))</f>
        <v/>
      </c>
      <c r="H292" s="9">
        <f>IF(F292="","",IF(COUNTIF($F:$F,F292)&gt;1,"REVIEW - same amount appears twice",IF(G292=0,"UNMATCHED - no ledger entry",IF(G292&gt;1,"REVIEW - matches several ledger entries","Matched"))))</f>
        <v/>
      </c>
    </row>
    <row r="293">
      <c r="A293" s="8" t="n"/>
      <c r="B293" s="9" t="n"/>
      <c r="C293" s="10" t="n"/>
      <c r="D293" s="10" t="n"/>
      <c r="E293" s="10">
        <f>N(C293)-N(D293)</f>
        <v/>
      </c>
      <c r="F293" s="9">
        <f>IF(E293=0,"",TEXT(ABS(E293),"0.00")&amp;"|"&amp;IF(E293&gt;0,"AR","AP"))</f>
        <v/>
      </c>
      <c r="G293" s="9">
        <f>IF(F293="","",COUNTIF(Ledger!$H:$H,F293))</f>
        <v/>
      </c>
      <c r="H293" s="9">
        <f>IF(F293="","",IF(COUNTIF($F:$F,F293)&gt;1,"REVIEW - same amount appears twice",IF(G293=0,"UNMATCHED - no ledger entry",IF(G293&gt;1,"REVIEW - matches several ledger entries","Matched"))))</f>
        <v/>
      </c>
    </row>
    <row r="294">
      <c r="A294" s="8" t="n"/>
      <c r="B294" s="9" t="n"/>
      <c r="C294" s="10" t="n"/>
      <c r="D294" s="10" t="n"/>
      <c r="E294" s="10">
        <f>N(C294)-N(D294)</f>
        <v/>
      </c>
      <c r="F294" s="9">
        <f>IF(E294=0,"",TEXT(ABS(E294),"0.00")&amp;"|"&amp;IF(E294&gt;0,"AR","AP"))</f>
        <v/>
      </c>
      <c r="G294" s="9">
        <f>IF(F294="","",COUNTIF(Ledger!$H:$H,F294))</f>
        <v/>
      </c>
      <c r="H294" s="9">
        <f>IF(F294="","",IF(COUNTIF($F:$F,F294)&gt;1,"REVIEW - same amount appears twice",IF(G294=0,"UNMATCHED - no ledger entry",IF(G294&gt;1,"REVIEW - matches several ledger entries","Matched"))))</f>
        <v/>
      </c>
    </row>
    <row r="295">
      <c r="A295" s="8" t="n"/>
      <c r="B295" s="9" t="n"/>
      <c r="C295" s="10" t="n"/>
      <c r="D295" s="10" t="n"/>
      <c r="E295" s="10">
        <f>N(C295)-N(D295)</f>
        <v/>
      </c>
      <c r="F295" s="9">
        <f>IF(E295=0,"",TEXT(ABS(E295),"0.00")&amp;"|"&amp;IF(E295&gt;0,"AR","AP"))</f>
        <v/>
      </c>
      <c r="G295" s="9">
        <f>IF(F295="","",COUNTIF(Ledger!$H:$H,F295))</f>
        <v/>
      </c>
      <c r="H295" s="9">
        <f>IF(F295="","",IF(COUNTIF($F:$F,F295)&gt;1,"REVIEW - same amount appears twice",IF(G295=0,"UNMATCHED - no ledger entry",IF(G295&gt;1,"REVIEW - matches several ledger entries","Matched"))))</f>
        <v/>
      </c>
    </row>
    <row r="296">
      <c r="A296" s="8" t="n"/>
      <c r="B296" s="9" t="n"/>
      <c r="C296" s="10" t="n"/>
      <c r="D296" s="10" t="n"/>
      <c r="E296" s="10">
        <f>N(C296)-N(D296)</f>
        <v/>
      </c>
      <c r="F296" s="9">
        <f>IF(E296=0,"",TEXT(ABS(E296),"0.00")&amp;"|"&amp;IF(E296&gt;0,"AR","AP"))</f>
        <v/>
      </c>
      <c r="G296" s="9">
        <f>IF(F296="","",COUNTIF(Ledger!$H:$H,F296))</f>
        <v/>
      </c>
      <c r="H296" s="9">
        <f>IF(F296="","",IF(COUNTIF($F:$F,F296)&gt;1,"REVIEW - same amount appears twice",IF(G296=0,"UNMATCHED - no ledger entry",IF(G296&gt;1,"REVIEW - matches several ledger entries","Matched"))))</f>
        <v/>
      </c>
    </row>
    <row r="297">
      <c r="A297" s="8" t="n"/>
      <c r="B297" s="9" t="n"/>
      <c r="C297" s="10" t="n"/>
      <c r="D297" s="10" t="n"/>
      <c r="E297" s="10">
        <f>N(C297)-N(D297)</f>
        <v/>
      </c>
      <c r="F297" s="9">
        <f>IF(E297=0,"",TEXT(ABS(E297),"0.00")&amp;"|"&amp;IF(E297&gt;0,"AR","AP"))</f>
        <v/>
      </c>
      <c r="G297" s="9">
        <f>IF(F297="","",COUNTIF(Ledger!$H:$H,F297))</f>
        <v/>
      </c>
      <c r="H297" s="9">
        <f>IF(F297="","",IF(COUNTIF($F:$F,F297)&gt;1,"REVIEW - same amount appears twice",IF(G297=0,"UNMATCHED - no ledger entry",IF(G297&gt;1,"REVIEW - matches several ledger entries","Matched"))))</f>
        <v/>
      </c>
    </row>
    <row r="298">
      <c r="A298" s="8" t="n"/>
      <c r="B298" s="9" t="n"/>
      <c r="C298" s="10" t="n"/>
      <c r="D298" s="10" t="n"/>
      <c r="E298" s="10">
        <f>N(C298)-N(D298)</f>
        <v/>
      </c>
      <c r="F298" s="9">
        <f>IF(E298=0,"",TEXT(ABS(E298),"0.00")&amp;"|"&amp;IF(E298&gt;0,"AR","AP"))</f>
        <v/>
      </c>
      <c r="G298" s="9">
        <f>IF(F298="","",COUNTIF(Ledger!$H:$H,F298))</f>
        <v/>
      </c>
      <c r="H298" s="9">
        <f>IF(F298="","",IF(COUNTIF($F:$F,F298)&gt;1,"REVIEW - same amount appears twice",IF(G298=0,"UNMATCHED - no ledger entry",IF(G298&gt;1,"REVIEW - matches several ledger entries","Matched"))))</f>
        <v/>
      </c>
    </row>
    <row r="299">
      <c r="A299" s="8" t="n"/>
      <c r="B299" s="9" t="n"/>
      <c r="C299" s="10" t="n"/>
      <c r="D299" s="10" t="n"/>
      <c r="E299" s="10">
        <f>N(C299)-N(D299)</f>
        <v/>
      </c>
      <c r="F299" s="9">
        <f>IF(E299=0,"",TEXT(ABS(E299),"0.00")&amp;"|"&amp;IF(E299&gt;0,"AR","AP"))</f>
        <v/>
      </c>
      <c r="G299" s="9">
        <f>IF(F299="","",COUNTIF(Ledger!$H:$H,F299))</f>
        <v/>
      </c>
      <c r="H299" s="9">
        <f>IF(F299="","",IF(COUNTIF($F:$F,F299)&gt;1,"REVIEW - same amount appears twice",IF(G299=0,"UNMATCHED - no ledger entry",IF(G299&gt;1,"REVIEW - matches several ledger entries","Matched"))))</f>
        <v/>
      </c>
    </row>
    <row r="300">
      <c r="A300" s="8" t="n"/>
      <c r="B300" s="9" t="n"/>
      <c r="C300" s="10" t="n"/>
      <c r="D300" s="10" t="n"/>
      <c r="E300" s="10">
        <f>N(C300)-N(D300)</f>
        <v/>
      </c>
      <c r="F300" s="9">
        <f>IF(E300=0,"",TEXT(ABS(E300),"0.00")&amp;"|"&amp;IF(E300&gt;0,"AR","AP"))</f>
        <v/>
      </c>
      <c r="G300" s="9">
        <f>IF(F300="","",COUNTIF(Ledger!$H:$H,F300))</f>
        <v/>
      </c>
      <c r="H300" s="9">
        <f>IF(F300="","",IF(COUNTIF($F:$F,F300)&gt;1,"REVIEW - same amount appears twice",IF(G300=0,"UNMATCHED - no ledger entry",IF(G300&gt;1,"REVIEW - matches several ledger entries","Matched"))))</f>
        <v/>
      </c>
    </row>
    <row r="301">
      <c r="A301" s="8" t="n"/>
      <c r="B301" s="9" t="n"/>
      <c r="C301" s="10" t="n"/>
      <c r="D301" s="10" t="n"/>
      <c r="E301" s="10">
        <f>N(C301)-N(D301)</f>
        <v/>
      </c>
      <c r="F301" s="9">
        <f>IF(E301=0,"",TEXT(ABS(E301),"0.00")&amp;"|"&amp;IF(E301&gt;0,"AR","AP"))</f>
        <v/>
      </c>
      <c r="G301" s="9">
        <f>IF(F301="","",COUNTIF(Ledger!$H:$H,F301))</f>
        <v/>
      </c>
      <c r="H301" s="9">
        <f>IF(F301="","",IF(COUNTIF($F:$F,F301)&gt;1,"REVIEW - same amount appears twice",IF(G301=0,"UNMATCHED - no ledger entry",IF(G301&gt;1,"REVIEW - matches several ledger entries","Matched"))))</f>
        <v/>
      </c>
    </row>
    <row r="302">
      <c r="A302" s="8" t="n"/>
      <c r="B302" s="9" t="n"/>
      <c r="C302" s="10" t="n"/>
      <c r="D302" s="10" t="n"/>
      <c r="E302" s="10">
        <f>N(C302)-N(D302)</f>
        <v/>
      </c>
      <c r="F302" s="9">
        <f>IF(E302=0,"",TEXT(ABS(E302),"0.00")&amp;"|"&amp;IF(E302&gt;0,"AR","AP"))</f>
        <v/>
      </c>
      <c r="G302" s="9">
        <f>IF(F302="","",COUNTIF(Ledger!$H:$H,F302))</f>
        <v/>
      </c>
      <c r="H302" s="9">
        <f>IF(F302="","",IF(COUNTIF($F:$F,F302)&gt;1,"REVIEW - same amount appears twice",IF(G302=0,"UNMATCHED - no ledger entry",IF(G302&gt;1,"REVIEW - matches several ledger entries","Matched"))))</f>
        <v/>
      </c>
    </row>
    <row r="303">
      <c r="A303" s="8" t="n"/>
      <c r="B303" s="9" t="n"/>
      <c r="C303" s="10" t="n"/>
      <c r="D303" s="10" t="n"/>
      <c r="E303" s="10">
        <f>N(C303)-N(D303)</f>
        <v/>
      </c>
      <c r="F303" s="9">
        <f>IF(E303=0,"",TEXT(ABS(E303),"0.00")&amp;"|"&amp;IF(E303&gt;0,"AR","AP"))</f>
        <v/>
      </c>
      <c r="G303" s="9">
        <f>IF(F303="","",COUNTIF(Ledger!$H:$H,F303))</f>
        <v/>
      </c>
      <c r="H303" s="9">
        <f>IF(F303="","",IF(COUNTIF($F:$F,F303)&gt;1,"REVIEW - same amount appears twice",IF(G303=0,"UNMATCHED - no ledger entry",IF(G303&gt;1,"REVIEW - matches several ledger entries","Matched"))))</f>
        <v/>
      </c>
    </row>
    <row r="304">
      <c r="A304" s="8" t="n"/>
      <c r="B304" s="9" t="n"/>
      <c r="C304" s="10" t="n"/>
      <c r="D304" s="10" t="n"/>
      <c r="E304" s="10">
        <f>N(C304)-N(D304)</f>
        <v/>
      </c>
      <c r="F304" s="9">
        <f>IF(E304=0,"",TEXT(ABS(E304),"0.00")&amp;"|"&amp;IF(E304&gt;0,"AR","AP"))</f>
        <v/>
      </c>
      <c r="G304" s="9">
        <f>IF(F304="","",COUNTIF(Ledger!$H:$H,F304))</f>
        <v/>
      </c>
      <c r="H304" s="9">
        <f>IF(F304="","",IF(COUNTIF($F:$F,F304)&gt;1,"REVIEW - same amount appears twice",IF(G304=0,"UNMATCHED - no ledger entry",IF(G304&gt;1,"REVIEW - matches several ledger entries","Matched"))))</f>
        <v/>
      </c>
    </row>
    <row r="305">
      <c r="A305" s="8" t="n"/>
      <c r="B305" s="9" t="n"/>
      <c r="C305" s="10" t="n"/>
      <c r="D305" s="10" t="n"/>
      <c r="E305" s="10">
        <f>N(C305)-N(D305)</f>
        <v/>
      </c>
      <c r="F305" s="9">
        <f>IF(E305=0,"",TEXT(ABS(E305),"0.00")&amp;"|"&amp;IF(E305&gt;0,"AR","AP"))</f>
        <v/>
      </c>
      <c r="G305" s="9">
        <f>IF(F305="","",COUNTIF(Ledger!$H:$H,F305))</f>
        <v/>
      </c>
      <c r="H305" s="9">
        <f>IF(F305="","",IF(COUNTIF($F:$F,F305)&gt;1,"REVIEW - same amount appears twice",IF(G305=0,"UNMATCHED - no ledger entry",IF(G305&gt;1,"REVIEW - matches several ledger entries","Matched"))))</f>
        <v/>
      </c>
    </row>
    <row r="306">
      <c r="A306" s="8" t="n"/>
      <c r="B306" s="9" t="n"/>
      <c r="C306" s="10" t="n"/>
      <c r="D306" s="10" t="n"/>
      <c r="E306" s="10">
        <f>N(C306)-N(D306)</f>
        <v/>
      </c>
      <c r="F306" s="9">
        <f>IF(E306=0,"",TEXT(ABS(E306),"0.00")&amp;"|"&amp;IF(E306&gt;0,"AR","AP"))</f>
        <v/>
      </c>
      <c r="G306" s="9">
        <f>IF(F306="","",COUNTIF(Ledger!$H:$H,F306))</f>
        <v/>
      </c>
      <c r="H306" s="9">
        <f>IF(F306="","",IF(COUNTIF($F:$F,F306)&gt;1,"REVIEW - same amount appears twice",IF(G306=0,"UNMATCHED - no ledger entry",IF(G306&gt;1,"REVIEW - matches several ledger entries","Matched"))))</f>
        <v/>
      </c>
    </row>
    <row r="307">
      <c r="A307" s="8" t="n"/>
      <c r="B307" s="9" t="n"/>
      <c r="C307" s="10" t="n"/>
      <c r="D307" s="10" t="n"/>
      <c r="E307" s="10">
        <f>N(C307)-N(D307)</f>
        <v/>
      </c>
      <c r="F307" s="9">
        <f>IF(E307=0,"",TEXT(ABS(E307),"0.00")&amp;"|"&amp;IF(E307&gt;0,"AR","AP"))</f>
        <v/>
      </c>
      <c r="G307" s="9">
        <f>IF(F307="","",COUNTIF(Ledger!$H:$H,F307))</f>
        <v/>
      </c>
      <c r="H307" s="9">
        <f>IF(F307="","",IF(COUNTIF($F:$F,F307)&gt;1,"REVIEW - same amount appears twice",IF(G307=0,"UNMATCHED - no ledger entry",IF(G307&gt;1,"REVIEW - matches several ledger entries","Matched"))))</f>
        <v/>
      </c>
    </row>
    <row r="308">
      <c r="A308" s="8" t="n"/>
      <c r="B308" s="9" t="n"/>
      <c r="C308" s="10" t="n"/>
      <c r="D308" s="10" t="n"/>
      <c r="E308" s="10">
        <f>N(C308)-N(D308)</f>
        <v/>
      </c>
      <c r="F308" s="9">
        <f>IF(E308=0,"",TEXT(ABS(E308),"0.00")&amp;"|"&amp;IF(E308&gt;0,"AR","AP"))</f>
        <v/>
      </c>
      <c r="G308" s="9">
        <f>IF(F308="","",COUNTIF(Ledger!$H:$H,F308))</f>
        <v/>
      </c>
      <c r="H308" s="9">
        <f>IF(F308="","",IF(COUNTIF($F:$F,F308)&gt;1,"REVIEW - same amount appears twice",IF(G308=0,"UNMATCHED - no ledger entry",IF(G308&gt;1,"REVIEW - matches several ledger entries","Matched"))))</f>
        <v/>
      </c>
    </row>
    <row r="309">
      <c r="A309" s="8" t="n"/>
      <c r="B309" s="9" t="n"/>
      <c r="C309" s="10" t="n"/>
      <c r="D309" s="10" t="n"/>
      <c r="E309" s="10">
        <f>N(C309)-N(D309)</f>
        <v/>
      </c>
      <c r="F309" s="9">
        <f>IF(E309=0,"",TEXT(ABS(E309),"0.00")&amp;"|"&amp;IF(E309&gt;0,"AR","AP"))</f>
        <v/>
      </c>
      <c r="G309" s="9">
        <f>IF(F309="","",COUNTIF(Ledger!$H:$H,F309))</f>
        <v/>
      </c>
      <c r="H309" s="9">
        <f>IF(F309="","",IF(COUNTIF($F:$F,F309)&gt;1,"REVIEW - same amount appears twice",IF(G309=0,"UNMATCHED - no ledger entry",IF(G309&gt;1,"REVIEW - matches several ledger entries","Matched"))))</f>
        <v/>
      </c>
    </row>
    <row r="310">
      <c r="A310" s="8" t="n"/>
      <c r="B310" s="9" t="n"/>
      <c r="C310" s="10" t="n"/>
      <c r="D310" s="10" t="n"/>
      <c r="E310" s="10">
        <f>N(C310)-N(D310)</f>
        <v/>
      </c>
      <c r="F310" s="9">
        <f>IF(E310=0,"",TEXT(ABS(E310),"0.00")&amp;"|"&amp;IF(E310&gt;0,"AR","AP"))</f>
        <v/>
      </c>
      <c r="G310" s="9">
        <f>IF(F310="","",COUNTIF(Ledger!$H:$H,F310))</f>
        <v/>
      </c>
      <c r="H310" s="9">
        <f>IF(F310="","",IF(COUNTIF($F:$F,F310)&gt;1,"REVIEW - same amount appears twice",IF(G310=0,"UNMATCHED - no ledger entry",IF(G310&gt;1,"REVIEW - matches several ledger entries","Matched"))))</f>
        <v/>
      </c>
    </row>
    <row r="311">
      <c r="A311" s="8" t="n"/>
      <c r="B311" s="9" t="n"/>
      <c r="C311" s="10" t="n"/>
      <c r="D311" s="10" t="n"/>
      <c r="E311" s="10">
        <f>N(C311)-N(D311)</f>
        <v/>
      </c>
      <c r="F311" s="9">
        <f>IF(E311=0,"",TEXT(ABS(E311),"0.00")&amp;"|"&amp;IF(E311&gt;0,"AR","AP"))</f>
        <v/>
      </c>
      <c r="G311" s="9">
        <f>IF(F311="","",COUNTIF(Ledger!$H:$H,F311))</f>
        <v/>
      </c>
      <c r="H311" s="9">
        <f>IF(F311="","",IF(COUNTIF($F:$F,F311)&gt;1,"REVIEW - same amount appears twice",IF(G311=0,"UNMATCHED - no ledger entry",IF(G311&gt;1,"REVIEW - matches several ledger entries","Matched"))))</f>
        <v/>
      </c>
    </row>
    <row r="312">
      <c r="A312" s="8" t="n"/>
      <c r="B312" s="9" t="n"/>
      <c r="C312" s="10" t="n"/>
      <c r="D312" s="10" t="n"/>
      <c r="E312" s="10">
        <f>N(C312)-N(D312)</f>
        <v/>
      </c>
      <c r="F312" s="9">
        <f>IF(E312=0,"",TEXT(ABS(E312),"0.00")&amp;"|"&amp;IF(E312&gt;0,"AR","AP"))</f>
        <v/>
      </c>
      <c r="G312" s="9">
        <f>IF(F312="","",COUNTIF(Ledger!$H:$H,F312))</f>
        <v/>
      </c>
      <c r="H312" s="9">
        <f>IF(F312="","",IF(COUNTIF($F:$F,F312)&gt;1,"REVIEW - same amount appears twice",IF(G312=0,"UNMATCHED - no ledger entry",IF(G312&gt;1,"REVIEW - matches several ledger entries","Matched"))))</f>
        <v/>
      </c>
    </row>
    <row r="313">
      <c r="A313" s="8" t="n"/>
      <c r="B313" s="9" t="n"/>
      <c r="C313" s="10" t="n"/>
      <c r="D313" s="10" t="n"/>
      <c r="E313" s="10">
        <f>N(C313)-N(D313)</f>
        <v/>
      </c>
      <c r="F313" s="9">
        <f>IF(E313=0,"",TEXT(ABS(E313),"0.00")&amp;"|"&amp;IF(E313&gt;0,"AR","AP"))</f>
        <v/>
      </c>
      <c r="G313" s="9">
        <f>IF(F313="","",COUNTIF(Ledger!$H:$H,F313))</f>
        <v/>
      </c>
      <c r="H313" s="9">
        <f>IF(F313="","",IF(COUNTIF($F:$F,F313)&gt;1,"REVIEW - same amount appears twice",IF(G313=0,"UNMATCHED - no ledger entry",IF(G313&gt;1,"REVIEW - matches several ledger entries","Matched"))))</f>
        <v/>
      </c>
    </row>
    <row r="314">
      <c r="A314" s="8" t="n"/>
      <c r="B314" s="9" t="n"/>
      <c r="C314" s="10" t="n"/>
      <c r="D314" s="10" t="n"/>
      <c r="E314" s="10">
        <f>N(C314)-N(D314)</f>
        <v/>
      </c>
      <c r="F314" s="9">
        <f>IF(E314=0,"",TEXT(ABS(E314),"0.00")&amp;"|"&amp;IF(E314&gt;0,"AR","AP"))</f>
        <v/>
      </c>
      <c r="G314" s="9">
        <f>IF(F314="","",COUNTIF(Ledger!$H:$H,F314))</f>
        <v/>
      </c>
      <c r="H314" s="9">
        <f>IF(F314="","",IF(COUNTIF($F:$F,F314)&gt;1,"REVIEW - same amount appears twice",IF(G314=0,"UNMATCHED - no ledger entry",IF(G314&gt;1,"REVIEW - matches several ledger entries","Matched"))))</f>
        <v/>
      </c>
    </row>
    <row r="315">
      <c r="A315" s="8" t="n"/>
      <c r="B315" s="9" t="n"/>
      <c r="C315" s="10" t="n"/>
      <c r="D315" s="10" t="n"/>
      <c r="E315" s="10">
        <f>N(C315)-N(D315)</f>
        <v/>
      </c>
      <c r="F315" s="9">
        <f>IF(E315=0,"",TEXT(ABS(E315),"0.00")&amp;"|"&amp;IF(E315&gt;0,"AR","AP"))</f>
        <v/>
      </c>
      <c r="G315" s="9">
        <f>IF(F315="","",COUNTIF(Ledger!$H:$H,F315))</f>
        <v/>
      </c>
      <c r="H315" s="9">
        <f>IF(F315="","",IF(COUNTIF($F:$F,F315)&gt;1,"REVIEW - same amount appears twice",IF(G315=0,"UNMATCHED - no ledger entry",IF(G315&gt;1,"REVIEW - matches several ledger entries","Matched"))))</f>
        <v/>
      </c>
    </row>
    <row r="316">
      <c r="A316" s="8" t="n"/>
      <c r="B316" s="9" t="n"/>
      <c r="C316" s="10" t="n"/>
      <c r="D316" s="10" t="n"/>
      <c r="E316" s="10">
        <f>N(C316)-N(D316)</f>
        <v/>
      </c>
      <c r="F316" s="9">
        <f>IF(E316=0,"",TEXT(ABS(E316),"0.00")&amp;"|"&amp;IF(E316&gt;0,"AR","AP"))</f>
        <v/>
      </c>
      <c r="G316" s="9">
        <f>IF(F316="","",COUNTIF(Ledger!$H:$H,F316))</f>
        <v/>
      </c>
      <c r="H316" s="9">
        <f>IF(F316="","",IF(COUNTIF($F:$F,F316)&gt;1,"REVIEW - same amount appears twice",IF(G316=0,"UNMATCHED - no ledger entry",IF(G316&gt;1,"REVIEW - matches several ledger entries","Matched"))))</f>
        <v/>
      </c>
    </row>
    <row r="317">
      <c r="A317" s="8" t="n"/>
      <c r="B317" s="9" t="n"/>
      <c r="C317" s="10" t="n"/>
      <c r="D317" s="10" t="n"/>
      <c r="E317" s="10">
        <f>N(C317)-N(D317)</f>
        <v/>
      </c>
      <c r="F317" s="9">
        <f>IF(E317=0,"",TEXT(ABS(E317),"0.00")&amp;"|"&amp;IF(E317&gt;0,"AR","AP"))</f>
        <v/>
      </c>
      <c r="G317" s="9">
        <f>IF(F317="","",COUNTIF(Ledger!$H:$H,F317))</f>
        <v/>
      </c>
      <c r="H317" s="9">
        <f>IF(F317="","",IF(COUNTIF($F:$F,F317)&gt;1,"REVIEW - same amount appears twice",IF(G317=0,"UNMATCHED - no ledger entry",IF(G317&gt;1,"REVIEW - matches several ledger entries","Matched"))))</f>
        <v/>
      </c>
    </row>
    <row r="318">
      <c r="A318" s="8" t="n"/>
      <c r="B318" s="9" t="n"/>
      <c r="C318" s="10" t="n"/>
      <c r="D318" s="10" t="n"/>
      <c r="E318" s="10">
        <f>N(C318)-N(D318)</f>
        <v/>
      </c>
      <c r="F318" s="9">
        <f>IF(E318=0,"",TEXT(ABS(E318),"0.00")&amp;"|"&amp;IF(E318&gt;0,"AR","AP"))</f>
        <v/>
      </c>
      <c r="G318" s="9">
        <f>IF(F318="","",COUNTIF(Ledger!$H:$H,F318))</f>
        <v/>
      </c>
      <c r="H318" s="9">
        <f>IF(F318="","",IF(COUNTIF($F:$F,F318)&gt;1,"REVIEW - same amount appears twice",IF(G318=0,"UNMATCHED - no ledger entry",IF(G318&gt;1,"REVIEW - matches several ledger entries","Matched"))))</f>
        <v/>
      </c>
    </row>
    <row r="319">
      <c r="A319" s="8" t="n"/>
      <c r="B319" s="9" t="n"/>
      <c r="C319" s="10" t="n"/>
      <c r="D319" s="10" t="n"/>
      <c r="E319" s="10">
        <f>N(C319)-N(D319)</f>
        <v/>
      </c>
      <c r="F319" s="9">
        <f>IF(E319=0,"",TEXT(ABS(E319),"0.00")&amp;"|"&amp;IF(E319&gt;0,"AR","AP"))</f>
        <v/>
      </c>
      <c r="G319" s="9">
        <f>IF(F319="","",COUNTIF(Ledger!$H:$H,F319))</f>
        <v/>
      </c>
      <c r="H319" s="9">
        <f>IF(F319="","",IF(COUNTIF($F:$F,F319)&gt;1,"REVIEW - same amount appears twice",IF(G319=0,"UNMATCHED - no ledger entry",IF(G319&gt;1,"REVIEW - matches several ledger entries","Matched"))))</f>
        <v/>
      </c>
    </row>
    <row r="320">
      <c r="A320" s="8" t="n"/>
      <c r="B320" s="9" t="n"/>
      <c r="C320" s="10" t="n"/>
      <c r="D320" s="10" t="n"/>
      <c r="E320" s="10">
        <f>N(C320)-N(D320)</f>
        <v/>
      </c>
      <c r="F320" s="9">
        <f>IF(E320=0,"",TEXT(ABS(E320),"0.00")&amp;"|"&amp;IF(E320&gt;0,"AR","AP"))</f>
        <v/>
      </c>
      <c r="G320" s="9">
        <f>IF(F320="","",COUNTIF(Ledger!$H:$H,F320))</f>
        <v/>
      </c>
      <c r="H320" s="9">
        <f>IF(F320="","",IF(COUNTIF($F:$F,F320)&gt;1,"REVIEW - same amount appears twice",IF(G320=0,"UNMATCHED - no ledger entry",IF(G320&gt;1,"REVIEW - matches several ledger entries","Matched"))))</f>
        <v/>
      </c>
    </row>
    <row r="321">
      <c r="A321" s="8" t="n"/>
      <c r="B321" s="9" t="n"/>
      <c r="C321" s="10" t="n"/>
      <c r="D321" s="10" t="n"/>
      <c r="E321" s="10">
        <f>N(C321)-N(D321)</f>
        <v/>
      </c>
      <c r="F321" s="9">
        <f>IF(E321=0,"",TEXT(ABS(E321),"0.00")&amp;"|"&amp;IF(E321&gt;0,"AR","AP"))</f>
        <v/>
      </c>
      <c r="G321" s="9">
        <f>IF(F321="","",COUNTIF(Ledger!$H:$H,F321))</f>
        <v/>
      </c>
      <c r="H321" s="9">
        <f>IF(F321="","",IF(COUNTIF($F:$F,F321)&gt;1,"REVIEW - same amount appears twice",IF(G321=0,"UNMATCHED - no ledger entry",IF(G321&gt;1,"REVIEW - matches several ledger entries","Matched"))))</f>
        <v/>
      </c>
    </row>
    <row r="322">
      <c r="A322" s="8" t="n"/>
      <c r="B322" s="9" t="n"/>
      <c r="C322" s="10" t="n"/>
      <c r="D322" s="10" t="n"/>
      <c r="E322" s="10">
        <f>N(C322)-N(D322)</f>
        <v/>
      </c>
      <c r="F322" s="9">
        <f>IF(E322=0,"",TEXT(ABS(E322),"0.00")&amp;"|"&amp;IF(E322&gt;0,"AR","AP"))</f>
        <v/>
      </c>
      <c r="G322" s="9">
        <f>IF(F322="","",COUNTIF(Ledger!$H:$H,F322))</f>
        <v/>
      </c>
      <c r="H322" s="9">
        <f>IF(F322="","",IF(COUNTIF($F:$F,F322)&gt;1,"REVIEW - same amount appears twice",IF(G322=0,"UNMATCHED - no ledger entry",IF(G322&gt;1,"REVIEW - matches several ledger entries","Matched"))))</f>
        <v/>
      </c>
    </row>
    <row r="323">
      <c r="A323" s="8" t="n"/>
      <c r="B323" s="9" t="n"/>
      <c r="C323" s="10" t="n"/>
      <c r="D323" s="10" t="n"/>
      <c r="E323" s="10">
        <f>N(C323)-N(D323)</f>
        <v/>
      </c>
      <c r="F323" s="9">
        <f>IF(E323=0,"",TEXT(ABS(E323),"0.00")&amp;"|"&amp;IF(E323&gt;0,"AR","AP"))</f>
        <v/>
      </c>
      <c r="G323" s="9">
        <f>IF(F323="","",COUNTIF(Ledger!$H:$H,F323))</f>
        <v/>
      </c>
      <c r="H323" s="9">
        <f>IF(F323="","",IF(COUNTIF($F:$F,F323)&gt;1,"REVIEW - same amount appears twice",IF(G323=0,"UNMATCHED - no ledger entry",IF(G323&gt;1,"REVIEW - matches several ledger entries","Matched"))))</f>
        <v/>
      </c>
    </row>
    <row r="324">
      <c r="A324" s="8" t="n"/>
      <c r="B324" s="9" t="n"/>
      <c r="C324" s="10" t="n"/>
      <c r="D324" s="10" t="n"/>
      <c r="E324" s="10">
        <f>N(C324)-N(D324)</f>
        <v/>
      </c>
      <c r="F324" s="9">
        <f>IF(E324=0,"",TEXT(ABS(E324),"0.00")&amp;"|"&amp;IF(E324&gt;0,"AR","AP"))</f>
        <v/>
      </c>
      <c r="G324" s="9">
        <f>IF(F324="","",COUNTIF(Ledger!$H:$H,F324))</f>
        <v/>
      </c>
      <c r="H324" s="9">
        <f>IF(F324="","",IF(COUNTIF($F:$F,F324)&gt;1,"REVIEW - same amount appears twice",IF(G324=0,"UNMATCHED - no ledger entry",IF(G324&gt;1,"REVIEW - matches several ledger entries","Matched"))))</f>
        <v/>
      </c>
    </row>
    <row r="325">
      <c r="A325" s="8" t="n"/>
      <c r="B325" s="9" t="n"/>
      <c r="C325" s="10" t="n"/>
      <c r="D325" s="10" t="n"/>
      <c r="E325" s="10">
        <f>N(C325)-N(D325)</f>
        <v/>
      </c>
      <c r="F325" s="9">
        <f>IF(E325=0,"",TEXT(ABS(E325),"0.00")&amp;"|"&amp;IF(E325&gt;0,"AR","AP"))</f>
        <v/>
      </c>
      <c r="G325" s="9">
        <f>IF(F325="","",COUNTIF(Ledger!$H:$H,F325))</f>
        <v/>
      </c>
      <c r="H325" s="9">
        <f>IF(F325="","",IF(COUNTIF($F:$F,F325)&gt;1,"REVIEW - same amount appears twice",IF(G325=0,"UNMATCHED - no ledger entry",IF(G325&gt;1,"REVIEW - matches several ledger entries","Matched"))))</f>
        <v/>
      </c>
    </row>
    <row r="326">
      <c r="A326" s="8" t="n"/>
      <c r="B326" s="9" t="n"/>
      <c r="C326" s="10" t="n"/>
      <c r="D326" s="10" t="n"/>
      <c r="E326" s="10">
        <f>N(C326)-N(D326)</f>
        <v/>
      </c>
      <c r="F326" s="9">
        <f>IF(E326=0,"",TEXT(ABS(E326),"0.00")&amp;"|"&amp;IF(E326&gt;0,"AR","AP"))</f>
        <v/>
      </c>
      <c r="G326" s="9">
        <f>IF(F326="","",COUNTIF(Ledger!$H:$H,F326))</f>
        <v/>
      </c>
      <c r="H326" s="9">
        <f>IF(F326="","",IF(COUNTIF($F:$F,F326)&gt;1,"REVIEW - same amount appears twice",IF(G326=0,"UNMATCHED - no ledger entry",IF(G326&gt;1,"REVIEW - matches several ledger entries","Matched"))))</f>
        <v/>
      </c>
    </row>
    <row r="327">
      <c r="A327" s="8" t="n"/>
      <c r="B327" s="9" t="n"/>
      <c r="C327" s="10" t="n"/>
      <c r="D327" s="10" t="n"/>
      <c r="E327" s="10">
        <f>N(C327)-N(D327)</f>
        <v/>
      </c>
      <c r="F327" s="9">
        <f>IF(E327=0,"",TEXT(ABS(E327),"0.00")&amp;"|"&amp;IF(E327&gt;0,"AR","AP"))</f>
        <v/>
      </c>
      <c r="G327" s="9">
        <f>IF(F327="","",COUNTIF(Ledger!$H:$H,F327))</f>
        <v/>
      </c>
      <c r="H327" s="9">
        <f>IF(F327="","",IF(COUNTIF($F:$F,F327)&gt;1,"REVIEW - same amount appears twice",IF(G327=0,"UNMATCHED - no ledger entry",IF(G327&gt;1,"REVIEW - matches several ledger entries","Matched"))))</f>
        <v/>
      </c>
    </row>
    <row r="328">
      <c r="A328" s="8" t="n"/>
      <c r="B328" s="9" t="n"/>
      <c r="C328" s="10" t="n"/>
      <c r="D328" s="10" t="n"/>
      <c r="E328" s="10">
        <f>N(C328)-N(D328)</f>
        <v/>
      </c>
      <c r="F328" s="9">
        <f>IF(E328=0,"",TEXT(ABS(E328),"0.00")&amp;"|"&amp;IF(E328&gt;0,"AR","AP"))</f>
        <v/>
      </c>
      <c r="G328" s="9">
        <f>IF(F328="","",COUNTIF(Ledger!$H:$H,F328))</f>
        <v/>
      </c>
      <c r="H328" s="9">
        <f>IF(F328="","",IF(COUNTIF($F:$F,F328)&gt;1,"REVIEW - same amount appears twice",IF(G328=0,"UNMATCHED - no ledger entry",IF(G328&gt;1,"REVIEW - matches several ledger entries","Matched"))))</f>
        <v/>
      </c>
    </row>
    <row r="329">
      <c r="A329" s="8" t="n"/>
      <c r="B329" s="9" t="n"/>
      <c r="C329" s="10" t="n"/>
      <c r="D329" s="10" t="n"/>
      <c r="E329" s="10">
        <f>N(C329)-N(D329)</f>
        <v/>
      </c>
      <c r="F329" s="9">
        <f>IF(E329=0,"",TEXT(ABS(E329),"0.00")&amp;"|"&amp;IF(E329&gt;0,"AR","AP"))</f>
        <v/>
      </c>
      <c r="G329" s="9">
        <f>IF(F329="","",COUNTIF(Ledger!$H:$H,F329))</f>
        <v/>
      </c>
      <c r="H329" s="9">
        <f>IF(F329="","",IF(COUNTIF($F:$F,F329)&gt;1,"REVIEW - same amount appears twice",IF(G329=0,"UNMATCHED - no ledger entry",IF(G329&gt;1,"REVIEW - matches several ledger entries","Matched"))))</f>
        <v/>
      </c>
    </row>
    <row r="330">
      <c r="A330" s="8" t="n"/>
      <c r="B330" s="9" t="n"/>
      <c r="C330" s="10" t="n"/>
      <c r="D330" s="10" t="n"/>
      <c r="E330" s="10">
        <f>N(C330)-N(D330)</f>
        <v/>
      </c>
      <c r="F330" s="9">
        <f>IF(E330=0,"",TEXT(ABS(E330),"0.00")&amp;"|"&amp;IF(E330&gt;0,"AR","AP"))</f>
        <v/>
      </c>
      <c r="G330" s="9">
        <f>IF(F330="","",COUNTIF(Ledger!$H:$H,F330))</f>
        <v/>
      </c>
      <c r="H330" s="9">
        <f>IF(F330="","",IF(COUNTIF($F:$F,F330)&gt;1,"REVIEW - same amount appears twice",IF(G330=0,"UNMATCHED - no ledger entry",IF(G330&gt;1,"REVIEW - matches several ledger entries","Matched"))))</f>
        <v/>
      </c>
    </row>
    <row r="331">
      <c r="A331" s="8" t="n"/>
      <c r="B331" s="9" t="n"/>
      <c r="C331" s="10" t="n"/>
      <c r="D331" s="10" t="n"/>
      <c r="E331" s="10">
        <f>N(C331)-N(D331)</f>
        <v/>
      </c>
      <c r="F331" s="9">
        <f>IF(E331=0,"",TEXT(ABS(E331),"0.00")&amp;"|"&amp;IF(E331&gt;0,"AR","AP"))</f>
        <v/>
      </c>
      <c r="G331" s="9">
        <f>IF(F331="","",COUNTIF(Ledger!$H:$H,F331))</f>
        <v/>
      </c>
      <c r="H331" s="9">
        <f>IF(F331="","",IF(COUNTIF($F:$F,F331)&gt;1,"REVIEW - same amount appears twice",IF(G331=0,"UNMATCHED - no ledger entry",IF(G331&gt;1,"REVIEW - matches several ledger entries","Matched"))))</f>
        <v/>
      </c>
    </row>
    <row r="332">
      <c r="A332" s="8" t="n"/>
      <c r="B332" s="9" t="n"/>
      <c r="C332" s="10" t="n"/>
      <c r="D332" s="10" t="n"/>
      <c r="E332" s="10">
        <f>N(C332)-N(D332)</f>
        <v/>
      </c>
      <c r="F332" s="9">
        <f>IF(E332=0,"",TEXT(ABS(E332),"0.00")&amp;"|"&amp;IF(E332&gt;0,"AR","AP"))</f>
        <v/>
      </c>
      <c r="G332" s="9">
        <f>IF(F332="","",COUNTIF(Ledger!$H:$H,F332))</f>
        <v/>
      </c>
      <c r="H332" s="9">
        <f>IF(F332="","",IF(COUNTIF($F:$F,F332)&gt;1,"REVIEW - same amount appears twice",IF(G332=0,"UNMATCHED - no ledger entry",IF(G332&gt;1,"REVIEW - matches several ledger entries","Matched"))))</f>
        <v/>
      </c>
    </row>
    <row r="333">
      <c r="A333" s="8" t="n"/>
      <c r="B333" s="9" t="n"/>
      <c r="C333" s="10" t="n"/>
      <c r="D333" s="10" t="n"/>
      <c r="E333" s="10">
        <f>N(C333)-N(D333)</f>
        <v/>
      </c>
      <c r="F333" s="9">
        <f>IF(E333=0,"",TEXT(ABS(E333),"0.00")&amp;"|"&amp;IF(E333&gt;0,"AR","AP"))</f>
        <v/>
      </c>
      <c r="G333" s="9">
        <f>IF(F333="","",COUNTIF(Ledger!$H:$H,F333))</f>
        <v/>
      </c>
      <c r="H333" s="9">
        <f>IF(F333="","",IF(COUNTIF($F:$F,F333)&gt;1,"REVIEW - same amount appears twice",IF(G333=0,"UNMATCHED - no ledger entry",IF(G333&gt;1,"REVIEW - matches several ledger entries","Matched"))))</f>
        <v/>
      </c>
    </row>
    <row r="334">
      <c r="A334" s="8" t="n"/>
      <c r="B334" s="9" t="n"/>
      <c r="C334" s="10" t="n"/>
      <c r="D334" s="10" t="n"/>
      <c r="E334" s="10">
        <f>N(C334)-N(D334)</f>
        <v/>
      </c>
      <c r="F334" s="9">
        <f>IF(E334=0,"",TEXT(ABS(E334),"0.00")&amp;"|"&amp;IF(E334&gt;0,"AR","AP"))</f>
        <v/>
      </c>
      <c r="G334" s="9">
        <f>IF(F334="","",COUNTIF(Ledger!$H:$H,F334))</f>
        <v/>
      </c>
      <c r="H334" s="9">
        <f>IF(F334="","",IF(COUNTIF($F:$F,F334)&gt;1,"REVIEW - same amount appears twice",IF(G334=0,"UNMATCHED - no ledger entry",IF(G334&gt;1,"REVIEW - matches several ledger entries","Matched"))))</f>
        <v/>
      </c>
    </row>
    <row r="335">
      <c r="A335" s="8" t="n"/>
      <c r="B335" s="9" t="n"/>
      <c r="C335" s="10" t="n"/>
      <c r="D335" s="10" t="n"/>
      <c r="E335" s="10">
        <f>N(C335)-N(D335)</f>
        <v/>
      </c>
      <c r="F335" s="9">
        <f>IF(E335=0,"",TEXT(ABS(E335),"0.00")&amp;"|"&amp;IF(E335&gt;0,"AR","AP"))</f>
        <v/>
      </c>
      <c r="G335" s="9">
        <f>IF(F335="","",COUNTIF(Ledger!$H:$H,F335))</f>
        <v/>
      </c>
      <c r="H335" s="9">
        <f>IF(F335="","",IF(COUNTIF($F:$F,F335)&gt;1,"REVIEW - same amount appears twice",IF(G335=0,"UNMATCHED - no ledger entry",IF(G335&gt;1,"REVIEW - matches several ledger entries","Matched"))))</f>
        <v/>
      </c>
    </row>
    <row r="336">
      <c r="A336" s="8" t="n"/>
      <c r="B336" s="9" t="n"/>
      <c r="C336" s="10" t="n"/>
      <c r="D336" s="10" t="n"/>
      <c r="E336" s="10">
        <f>N(C336)-N(D336)</f>
        <v/>
      </c>
      <c r="F336" s="9">
        <f>IF(E336=0,"",TEXT(ABS(E336),"0.00")&amp;"|"&amp;IF(E336&gt;0,"AR","AP"))</f>
        <v/>
      </c>
      <c r="G336" s="9">
        <f>IF(F336="","",COUNTIF(Ledger!$H:$H,F336))</f>
        <v/>
      </c>
      <c r="H336" s="9">
        <f>IF(F336="","",IF(COUNTIF($F:$F,F336)&gt;1,"REVIEW - same amount appears twice",IF(G336=0,"UNMATCHED - no ledger entry",IF(G336&gt;1,"REVIEW - matches several ledger entries","Matched"))))</f>
        <v/>
      </c>
    </row>
    <row r="337">
      <c r="A337" s="8" t="n"/>
      <c r="B337" s="9" t="n"/>
      <c r="C337" s="10" t="n"/>
      <c r="D337" s="10" t="n"/>
      <c r="E337" s="10">
        <f>N(C337)-N(D337)</f>
        <v/>
      </c>
      <c r="F337" s="9">
        <f>IF(E337=0,"",TEXT(ABS(E337),"0.00")&amp;"|"&amp;IF(E337&gt;0,"AR","AP"))</f>
        <v/>
      </c>
      <c r="G337" s="9">
        <f>IF(F337="","",COUNTIF(Ledger!$H:$H,F337))</f>
        <v/>
      </c>
      <c r="H337" s="9">
        <f>IF(F337="","",IF(COUNTIF($F:$F,F337)&gt;1,"REVIEW - same amount appears twice",IF(G337=0,"UNMATCHED - no ledger entry",IF(G337&gt;1,"REVIEW - matches several ledger entries","Matched"))))</f>
        <v/>
      </c>
    </row>
    <row r="338">
      <c r="A338" s="8" t="n"/>
      <c r="B338" s="9" t="n"/>
      <c r="C338" s="10" t="n"/>
      <c r="D338" s="10" t="n"/>
      <c r="E338" s="10">
        <f>N(C338)-N(D338)</f>
        <v/>
      </c>
      <c r="F338" s="9">
        <f>IF(E338=0,"",TEXT(ABS(E338),"0.00")&amp;"|"&amp;IF(E338&gt;0,"AR","AP"))</f>
        <v/>
      </c>
      <c r="G338" s="9">
        <f>IF(F338="","",COUNTIF(Ledger!$H:$H,F338))</f>
        <v/>
      </c>
      <c r="H338" s="9">
        <f>IF(F338="","",IF(COUNTIF($F:$F,F338)&gt;1,"REVIEW - same amount appears twice",IF(G338=0,"UNMATCHED - no ledger entry",IF(G338&gt;1,"REVIEW - matches several ledger entries","Matched"))))</f>
        <v/>
      </c>
    </row>
    <row r="339">
      <c r="A339" s="8" t="n"/>
      <c r="B339" s="9" t="n"/>
      <c r="C339" s="10" t="n"/>
      <c r="D339" s="10" t="n"/>
      <c r="E339" s="10">
        <f>N(C339)-N(D339)</f>
        <v/>
      </c>
      <c r="F339" s="9">
        <f>IF(E339=0,"",TEXT(ABS(E339),"0.00")&amp;"|"&amp;IF(E339&gt;0,"AR","AP"))</f>
        <v/>
      </c>
      <c r="G339" s="9">
        <f>IF(F339="","",COUNTIF(Ledger!$H:$H,F339))</f>
        <v/>
      </c>
      <c r="H339" s="9">
        <f>IF(F339="","",IF(COUNTIF($F:$F,F339)&gt;1,"REVIEW - same amount appears twice",IF(G339=0,"UNMATCHED - no ledger entry",IF(G339&gt;1,"REVIEW - matches several ledger entries","Matched"))))</f>
        <v/>
      </c>
    </row>
    <row r="340">
      <c r="A340" s="8" t="n"/>
      <c r="B340" s="9" t="n"/>
      <c r="C340" s="10" t="n"/>
      <c r="D340" s="10" t="n"/>
      <c r="E340" s="10">
        <f>N(C340)-N(D340)</f>
        <v/>
      </c>
      <c r="F340" s="9">
        <f>IF(E340=0,"",TEXT(ABS(E340),"0.00")&amp;"|"&amp;IF(E340&gt;0,"AR","AP"))</f>
        <v/>
      </c>
      <c r="G340" s="9">
        <f>IF(F340="","",COUNTIF(Ledger!$H:$H,F340))</f>
        <v/>
      </c>
      <c r="H340" s="9">
        <f>IF(F340="","",IF(COUNTIF($F:$F,F340)&gt;1,"REVIEW - same amount appears twice",IF(G340=0,"UNMATCHED - no ledger entry",IF(G340&gt;1,"REVIEW - matches several ledger entries","Matched"))))</f>
        <v/>
      </c>
    </row>
    <row r="341">
      <c r="A341" s="8" t="n"/>
      <c r="B341" s="9" t="n"/>
      <c r="C341" s="10" t="n"/>
      <c r="D341" s="10" t="n"/>
      <c r="E341" s="10">
        <f>N(C341)-N(D341)</f>
        <v/>
      </c>
      <c r="F341" s="9">
        <f>IF(E341=0,"",TEXT(ABS(E341),"0.00")&amp;"|"&amp;IF(E341&gt;0,"AR","AP"))</f>
        <v/>
      </c>
      <c r="G341" s="9">
        <f>IF(F341="","",COUNTIF(Ledger!$H:$H,F341))</f>
        <v/>
      </c>
      <c r="H341" s="9">
        <f>IF(F341="","",IF(COUNTIF($F:$F,F341)&gt;1,"REVIEW - same amount appears twice",IF(G341=0,"UNMATCHED - no ledger entry",IF(G341&gt;1,"REVIEW - matches several ledger entries","Matched"))))</f>
        <v/>
      </c>
    </row>
    <row r="342">
      <c r="A342" s="8" t="n"/>
      <c r="B342" s="9" t="n"/>
      <c r="C342" s="10" t="n"/>
      <c r="D342" s="10" t="n"/>
      <c r="E342" s="10">
        <f>N(C342)-N(D342)</f>
        <v/>
      </c>
      <c r="F342" s="9">
        <f>IF(E342=0,"",TEXT(ABS(E342),"0.00")&amp;"|"&amp;IF(E342&gt;0,"AR","AP"))</f>
        <v/>
      </c>
      <c r="G342" s="9">
        <f>IF(F342="","",COUNTIF(Ledger!$H:$H,F342))</f>
        <v/>
      </c>
      <c r="H342" s="9">
        <f>IF(F342="","",IF(COUNTIF($F:$F,F342)&gt;1,"REVIEW - same amount appears twice",IF(G342=0,"UNMATCHED - no ledger entry",IF(G342&gt;1,"REVIEW - matches several ledger entries","Matched"))))</f>
        <v/>
      </c>
    </row>
    <row r="343">
      <c r="A343" s="8" t="n"/>
      <c r="B343" s="9" t="n"/>
      <c r="C343" s="10" t="n"/>
      <c r="D343" s="10" t="n"/>
      <c r="E343" s="10">
        <f>N(C343)-N(D343)</f>
        <v/>
      </c>
      <c r="F343" s="9">
        <f>IF(E343=0,"",TEXT(ABS(E343),"0.00")&amp;"|"&amp;IF(E343&gt;0,"AR","AP"))</f>
        <v/>
      </c>
      <c r="G343" s="9">
        <f>IF(F343="","",COUNTIF(Ledger!$H:$H,F343))</f>
        <v/>
      </c>
      <c r="H343" s="9">
        <f>IF(F343="","",IF(COUNTIF($F:$F,F343)&gt;1,"REVIEW - same amount appears twice",IF(G343=0,"UNMATCHED - no ledger entry",IF(G343&gt;1,"REVIEW - matches several ledger entries","Matched"))))</f>
        <v/>
      </c>
    </row>
    <row r="344">
      <c r="A344" s="8" t="n"/>
      <c r="B344" s="9" t="n"/>
      <c r="C344" s="10" t="n"/>
      <c r="D344" s="10" t="n"/>
      <c r="E344" s="10">
        <f>N(C344)-N(D344)</f>
        <v/>
      </c>
      <c r="F344" s="9">
        <f>IF(E344=0,"",TEXT(ABS(E344),"0.00")&amp;"|"&amp;IF(E344&gt;0,"AR","AP"))</f>
        <v/>
      </c>
      <c r="G344" s="9">
        <f>IF(F344="","",COUNTIF(Ledger!$H:$H,F344))</f>
        <v/>
      </c>
      <c r="H344" s="9">
        <f>IF(F344="","",IF(COUNTIF($F:$F,F344)&gt;1,"REVIEW - same amount appears twice",IF(G344=0,"UNMATCHED - no ledger entry",IF(G344&gt;1,"REVIEW - matches several ledger entries","Matched"))))</f>
        <v/>
      </c>
    </row>
    <row r="345">
      <c r="A345" s="8" t="n"/>
      <c r="B345" s="9" t="n"/>
      <c r="C345" s="10" t="n"/>
      <c r="D345" s="10" t="n"/>
      <c r="E345" s="10">
        <f>N(C345)-N(D345)</f>
        <v/>
      </c>
      <c r="F345" s="9">
        <f>IF(E345=0,"",TEXT(ABS(E345),"0.00")&amp;"|"&amp;IF(E345&gt;0,"AR","AP"))</f>
        <v/>
      </c>
      <c r="G345" s="9">
        <f>IF(F345="","",COUNTIF(Ledger!$H:$H,F345))</f>
        <v/>
      </c>
      <c r="H345" s="9">
        <f>IF(F345="","",IF(COUNTIF($F:$F,F345)&gt;1,"REVIEW - same amount appears twice",IF(G345=0,"UNMATCHED - no ledger entry",IF(G345&gt;1,"REVIEW - matches several ledger entries","Matched"))))</f>
        <v/>
      </c>
    </row>
    <row r="346">
      <c r="A346" s="8" t="n"/>
      <c r="B346" s="9" t="n"/>
      <c r="C346" s="10" t="n"/>
      <c r="D346" s="10" t="n"/>
      <c r="E346" s="10">
        <f>N(C346)-N(D346)</f>
        <v/>
      </c>
      <c r="F346" s="9">
        <f>IF(E346=0,"",TEXT(ABS(E346),"0.00")&amp;"|"&amp;IF(E346&gt;0,"AR","AP"))</f>
        <v/>
      </c>
      <c r="G346" s="9">
        <f>IF(F346="","",COUNTIF(Ledger!$H:$H,F346))</f>
        <v/>
      </c>
      <c r="H346" s="9">
        <f>IF(F346="","",IF(COUNTIF($F:$F,F346)&gt;1,"REVIEW - same amount appears twice",IF(G346=0,"UNMATCHED - no ledger entry",IF(G346&gt;1,"REVIEW - matches several ledger entries","Matched"))))</f>
        <v/>
      </c>
    </row>
    <row r="347">
      <c r="A347" s="8" t="n"/>
      <c r="B347" s="9" t="n"/>
      <c r="C347" s="10" t="n"/>
      <c r="D347" s="10" t="n"/>
      <c r="E347" s="10">
        <f>N(C347)-N(D347)</f>
        <v/>
      </c>
      <c r="F347" s="9">
        <f>IF(E347=0,"",TEXT(ABS(E347),"0.00")&amp;"|"&amp;IF(E347&gt;0,"AR","AP"))</f>
        <v/>
      </c>
      <c r="G347" s="9">
        <f>IF(F347="","",COUNTIF(Ledger!$H:$H,F347))</f>
        <v/>
      </c>
      <c r="H347" s="9">
        <f>IF(F347="","",IF(COUNTIF($F:$F,F347)&gt;1,"REVIEW - same amount appears twice",IF(G347=0,"UNMATCHED - no ledger entry",IF(G347&gt;1,"REVIEW - matches several ledger entries","Matched"))))</f>
        <v/>
      </c>
    </row>
    <row r="348">
      <c r="A348" s="8" t="n"/>
      <c r="B348" s="9" t="n"/>
      <c r="C348" s="10" t="n"/>
      <c r="D348" s="10" t="n"/>
      <c r="E348" s="10">
        <f>N(C348)-N(D348)</f>
        <v/>
      </c>
      <c r="F348" s="9">
        <f>IF(E348=0,"",TEXT(ABS(E348),"0.00")&amp;"|"&amp;IF(E348&gt;0,"AR","AP"))</f>
        <v/>
      </c>
      <c r="G348" s="9">
        <f>IF(F348="","",COUNTIF(Ledger!$H:$H,F348))</f>
        <v/>
      </c>
      <c r="H348" s="9">
        <f>IF(F348="","",IF(COUNTIF($F:$F,F348)&gt;1,"REVIEW - same amount appears twice",IF(G348=0,"UNMATCHED - no ledger entry",IF(G348&gt;1,"REVIEW - matches several ledger entries","Matched"))))</f>
        <v/>
      </c>
    </row>
    <row r="349">
      <c r="A349" s="8" t="n"/>
      <c r="B349" s="9" t="n"/>
      <c r="C349" s="10" t="n"/>
      <c r="D349" s="10" t="n"/>
      <c r="E349" s="10">
        <f>N(C349)-N(D349)</f>
        <v/>
      </c>
      <c r="F349" s="9">
        <f>IF(E349=0,"",TEXT(ABS(E349),"0.00")&amp;"|"&amp;IF(E349&gt;0,"AR","AP"))</f>
        <v/>
      </c>
      <c r="G349" s="9">
        <f>IF(F349="","",COUNTIF(Ledger!$H:$H,F349))</f>
        <v/>
      </c>
      <c r="H349" s="9">
        <f>IF(F349="","",IF(COUNTIF($F:$F,F349)&gt;1,"REVIEW - same amount appears twice",IF(G349=0,"UNMATCHED - no ledger entry",IF(G349&gt;1,"REVIEW - matches several ledger entries","Matched"))))</f>
        <v/>
      </c>
    </row>
    <row r="350">
      <c r="A350" s="8" t="n"/>
      <c r="B350" s="9" t="n"/>
      <c r="C350" s="10" t="n"/>
      <c r="D350" s="10" t="n"/>
      <c r="E350" s="10">
        <f>N(C350)-N(D350)</f>
        <v/>
      </c>
      <c r="F350" s="9">
        <f>IF(E350=0,"",TEXT(ABS(E350),"0.00")&amp;"|"&amp;IF(E350&gt;0,"AR","AP"))</f>
        <v/>
      </c>
      <c r="G350" s="9">
        <f>IF(F350="","",COUNTIF(Ledger!$H:$H,F350))</f>
        <v/>
      </c>
      <c r="H350" s="9">
        <f>IF(F350="","",IF(COUNTIF($F:$F,F350)&gt;1,"REVIEW - same amount appears twice",IF(G350=0,"UNMATCHED - no ledger entry",IF(G350&gt;1,"REVIEW - matches several ledger entries","Matched"))))</f>
        <v/>
      </c>
    </row>
    <row r="351">
      <c r="A351" s="8" t="n"/>
      <c r="B351" s="9" t="n"/>
      <c r="C351" s="10" t="n"/>
      <c r="D351" s="10" t="n"/>
      <c r="E351" s="10">
        <f>N(C351)-N(D351)</f>
        <v/>
      </c>
      <c r="F351" s="9">
        <f>IF(E351=0,"",TEXT(ABS(E351),"0.00")&amp;"|"&amp;IF(E351&gt;0,"AR","AP"))</f>
        <v/>
      </c>
      <c r="G351" s="9">
        <f>IF(F351="","",COUNTIF(Ledger!$H:$H,F351))</f>
        <v/>
      </c>
      <c r="H351" s="9">
        <f>IF(F351="","",IF(COUNTIF($F:$F,F351)&gt;1,"REVIEW - same amount appears twice",IF(G351=0,"UNMATCHED - no ledger entry",IF(G351&gt;1,"REVIEW - matches several ledger entries","Matched"))))</f>
        <v/>
      </c>
    </row>
    <row r="352">
      <c r="A352" s="8" t="n"/>
      <c r="B352" s="9" t="n"/>
      <c r="C352" s="10" t="n"/>
      <c r="D352" s="10" t="n"/>
      <c r="E352" s="10">
        <f>N(C352)-N(D352)</f>
        <v/>
      </c>
      <c r="F352" s="9">
        <f>IF(E352=0,"",TEXT(ABS(E352),"0.00")&amp;"|"&amp;IF(E352&gt;0,"AR","AP"))</f>
        <v/>
      </c>
      <c r="G352" s="9">
        <f>IF(F352="","",COUNTIF(Ledger!$H:$H,F352))</f>
        <v/>
      </c>
      <c r="H352" s="9">
        <f>IF(F352="","",IF(COUNTIF($F:$F,F352)&gt;1,"REVIEW - same amount appears twice",IF(G352=0,"UNMATCHED - no ledger entry",IF(G352&gt;1,"REVIEW - matches several ledger entries","Matched"))))</f>
        <v/>
      </c>
    </row>
    <row r="353">
      <c r="A353" s="8" t="n"/>
      <c r="B353" s="9" t="n"/>
      <c r="C353" s="10" t="n"/>
      <c r="D353" s="10" t="n"/>
      <c r="E353" s="10">
        <f>N(C353)-N(D353)</f>
        <v/>
      </c>
      <c r="F353" s="9">
        <f>IF(E353=0,"",TEXT(ABS(E353),"0.00")&amp;"|"&amp;IF(E353&gt;0,"AR","AP"))</f>
        <v/>
      </c>
      <c r="G353" s="9">
        <f>IF(F353="","",COUNTIF(Ledger!$H:$H,F353))</f>
        <v/>
      </c>
      <c r="H353" s="9">
        <f>IF(F353="","",IF(COUNTIF($F:$F,F353)&gt;1,"REVIEW - same amount appears twice",IF(G353=0,"UNMATCHED - no ledger entry",IF(G353&gt;1,"REVIEW - matches several ledger entries","Matched"))))</f>
        <v/>
      </c>
    </row>
    <row r="354">
      <c r="A354" s="8" t="n"/>
      <c r="B354" s="9" t="n"/>
      <c r="C354" s="10" t="n"/>
      <c r="D354" s="10" t="n"/>
      <c r="E354" s="10">
        <f>N(C354)-N(D354)</f>
        <v/>
      </c>
      <c r="F354" s="9">
        <f>IF(E354=0,"",TEXT(ABS(E354),"0.00")&amp;"|"&amp;IF(E354&gt;0,"AR","AP"))</f>
        <v/>
      </c>
      <c r="G354" s="9">
        <f>IF(F354="","",COUNTIF(Ledger!$H:$H,F354))</f>
        <v/>
      </c>
      <c r="H354" s="9">
        <f>IF(F354="","",IF(COUNTIF($F:$F,F354)&gt;1,"REVIEW - same amount appears twice",IF(G354=0,"UNMATCHED - no ledger entry",IF(G354&gt;1,"REVIEW - matches several ledger entries","Matched"))))</f>
        <v/>
      </c>
    </row>
    <row r="355">
      <c r="A355" s="8" t="n"/>
      <c r="B355" s="9" t="n"/>
      <c r="C355" s="10" t="n"/>
      <c r="D355" s="10" t="n"/>
      <c r="E355" s="10">
        <f>N(C355)-N(D355)</f>
        <v/>
      </c>
      <c r="F355" s="9">
        <f>IF(E355=0,"",TEXT(ABS(E355),"0.00")&amp;"|"&amp;IF(E355&gt;0,"AR","AP"))</f>
        <v/>
      </c>
      <c r="G355" s="9">
        <f>IF(F355="","",COUNTIF(Ledger!$H:$H,F355))</f>
        <v/>
      </c>
      <c r="H355" s="9">
        <f>IF(F355="","",IF(COUNTIF($F:$F,F355)&gt;1,"REVIEW - same amount appears twice",IF(G355=0,"UNMATCHED - no ledger entry",IF(G355&gt;1,"REVIEW - matches several ledger entries","Matched"))))</f>
        <v/>
      </c>
    </row>
    <row r="356">
      <c r="A356" s="8" t="n"/>
      <c r="B356" s="9" t="n"/>
      <c r="C356" s="10" t="n"/>
      <c r="D356" s="10" t="n"/>
      <c r="E356" s="10">
        <f>N(C356)-N(D356)</f>
        <v/>
      </c>
      <c r="F356" s="9">
        <f>IF(E356=0,"",TEXT(ABS(E356),"0.00")&amp;"|"&amp;IF(E356&gt;0,"AR","AP"))</f>
        <v/>
      </c>
      <c r="G356" s="9">
        <f>IF(F356="","",COUNTIF(Ledger!$H:$H,F356))</f>
        <v/>
      </c>
      <c r="H356" s="9">
        <f>IF(F356="","",IF(COUNTIF($F:$F,F356)&gt;1,"REVIEW - same amount appears twice",IF(G356=0,"UNMATCHED - no ledger entry",IF(G356&gt;1,"REVIEW - matches several ledger entries","Matched"))))</f>
        <v/>
      </c>
    </row>
    <row r="357">
      <c r="A357" s="8" t="n"/>
      <c r="B357" s="9" t="n"/>
      <c r="C357" s="10" t="n"/>
      <c r="D357" s="10" t="n"/>
      <c r="E357" s="10">
        <f>N(C357)-N(D357)</f>
        <v/>
      </c>
      <c r="F357" s="9">
        <f>IF(E357=0,"",TEXT(ABS(E357),"0.00")&amp;"|"&amp;IF(E357&gt;0,"AR","AP"))</f>
        <v/>
      </c>
      <c r="G357" s="9">
        <f>IF(F357="","",COUNTIF(Ledger!$H:$H,F357))</f>
        <v/>
      </c>
      <c r="H357" s="9">
        <f>IF(F357="","",IF(COUNTIF($F:$F,F357)&gt;1,"REVIEW - same amount appears twice",IF(G357=0,"UNMATCHED - no ledger entry",IF(G357&gt;1,"REVIEW - matches several ledger entries","Matched"))))</f>
        <v/>
      </c>
    </row>
    <row r="358">
      <c r="A358" s="8" t="n"/>
      <c r="B358" s="9" t="n"/>
      <c r="C358" s="10" t="n"/>
      <c r="D358" s="10" t="n"/>
      <c r="E358" s="10">
        <f>N(C358)-N(D358)</f>
        <v/>
      </c>
      <c r="F358" s="9">
        <f>IF(E358=0,"",TEXT(ABS(E358),"0.00")&amp;"|"&amp;IF(E358&gt;0,"AR","AP"))</f>
        <v/>
      </c>
      <c r="G358" s="9">
        <f>IF(F358="","",COUNTIF(Ledger!$H:$H,F358))</f>
        <v/>
      </c>
      <c r="H358" s="9">
        <f>IF(F358="","",IF(COUNTIF($F:$F,F358)&gt;1,"REVIEW - same amount appears twice",IF(G358=0,"UNMATCHED - no ledger entry",IF(G358&gt;1,"REVIEW - matches several ledger entries","Matched"))))</f>
        <v/>
      </c>
    </row>
    <row r="359">
      <c r="A359" s="8" t="n"/>
      <c r="B359" s="9" t="n"/>
      <c r="C359" s="10" t="n"/>
      <c r="D359" s="10" t="n"/>
      <c r="E359" s="10">
        <f>N(C359)-N(D359)</f>
        <v/>
      </c>
      <c r="F359" s="9">
        <f>IF(E359=0,"",TEXT(ABS(E359),"0.00")&amp;"|"&amp;IF(E359&gt;0,"AR","AP"))</f>
        <v/>
      </c>
      <c r="G359" s="9">
        <f>IF(F359="","",COUNTIF(Ledger!$H:$H,F359))</f>
        <v/>
      </c>
      <c r="H359" s="9">
        <f>IF(F359="","",IF(COUNTIF($F:$F,F359)&gt;1,"REVIEW - same amount appears twice",IF(G359=0,"UNMATCHED - no ledger entry",IF(G359&gt;1,"REVIEW - matches several ledger entries","Matched"))))</f>
        <v/>
      </c>
    </row>
    <row r="360">
      <c r="A360" s="8" t="n"/>
      <c r="B360" s="9" t="n"/>
      <c r="C360" s="10" t="n"/>
      <c r="D360" s="10" t="n"/>
      <c r="E360" s="10">
        <f>N(C360)-N(D360)</f>
        <v/>
      </c>
      <c r="F360" s="9">
        <f>IF(E360=0,"",TEXT(ABS(E360),"0.00")&amp;"|"&amp;IF(E360&gt;0,"AR","AP"))</f>
        <v/>
      </c>
      <c r="G360" s="9">
        <f>IF(F360="","",COUNTIF(Ledger!$H:$H,F360))</f>
        <v/>
      </c>
      <c r="H360" s="9">
        <f>IF(F360="","",IF(COUNTIF($F:$F,F360)&gt;1,"REVIEW - same amount appears twice",IF(G360=0,"UNMATCHED - no ledger entry",IF(G360&gt;1,"REVIEW - matches several ledger entries","Matched"))))</f>
        <v/>
      </c>
    </row>
    <row r="361">
      <c r="A361" s="8" t="n"/>
      <c r="B361" s="9" t="n"/>
      <c r="C361" s="10" t="n"/>
      <c r="D361" s="10" t="n"/>
      <c r="E361" s="10">
        <f>N(C361)-N(D361)</f>
        <v/>
      </c>
      <c r="F361" s="9">
        <f>IF(E361=0,"",TEXT(ABS(E361),"0.00")&amp;"|"&amp;IF(E361&gt;0,"AR","AP"))</f>
        <v/>
      </c>
      <c r="G361" s="9">
        <f>IF(F361="","",COUNTIF(Ledger!$H:$H,F361))</f>
        <v/>
      </c>
      <c r="H361" s="9">
        <f>IF(F361="","",IF(COUNTIF($F:$F,F361)&gt;1,"REVIEW - same amount appears twice",IF(G361=0,"UNMATCHED - no ledger entry",IF(G361&gt;1,"REVIEW - matches several ledger entries","Matched"))))</f>
        <v/>
      </c>
    </row>
    <row r="362">
      <c r="A362" s="8" t="n"/>
      <c r="B362" s="9" t="n"/>
      <c r="C362" s="10" t="n"/>
      <c r="D362" s="10" t="n"/>
      <c r="E362" s="10">
        <f>N(C362)-N(D362)</f>
        <v/>
      </c>
      <c r="F362" s="9">
        <f>IF(E362=0,"",TEXT(ABS(E362),"0.00")&amp;"|"&amp;IF(E362&gt;0,"AR","AP"))</f>
        <v/>
      </c>
      <c r="G362" s="9">
        <f>IF(F362="","",COUNTIF(Ledger!$H:$H,F362))</f>
        <v/>
      </c>
      <c r="H362" s="9">
        <f>IF(F362="","",IF(COUNTIF($F:$F,F362)&gt;1,"REVIEW - same amount appears twice",IF(G362=0,"UNMATCHED - no ledger entry",IF(G362&gt;1,"REVIEW - matches several ledger entries","Matched"))))</f>
        <v/>
      </c>
    </row>
    <row r="363">
      <c r="A363" s="8" t="n"/>
      <c r="B363" s="9" t="n"/>
      <c r="C363" s="10" t="n"/>
      <c r="D363" s="10" t="n"/>
      <c r="E363" s="10">
        <f>N(C363)-N(D363)</f>
        <v/>
      </c>
      <c r="F363" s="9">
        <f>IF(E363=0,"",TEXT(ABS(E363),"0.00")&amp;"|"&amp;IF(E363&gt;0,"AR","AP"))</f>
        <v/>
      </c>
      <c r="G363" s="9">
        <f>IF(F363="","",COUNTIF(Ledger!$H:$H,F363))</f>
        <v/>
      </c>
      <c r="H363" s="9">
        <f>IF(F363="","",IF(COUNTIF($F:$F,F363)&gt;1,"REVIEW - same amount appears twice",IF(G363=0,"UNMATCHED - no ledger entry",IF(G363&gt;1,"REVIEW - matches several ledger entries","Matched"))))</f>
        <v/>
      </c>
    </row>
    <row r="364">
      <c r="A364" s="8" t="n"/>
      <c r="B364" s="9" t="n"/>
      <c r="C364" s="10" t="n"/>
      <c r="D364" s="10" t="n"/>
      <c r="E364" s="10">
        <f>N(C364)-N(D364)</f>
        <v/>
      </c>
      <c r="F364" s="9">
        <f>IF(E364=0,"",TEXT(ABS(E364),"0.00")&amp;"|"&amp;IF(E364&gt;0,"AR","AP"))</f>
        <v/>
      </c>
      <c r="G364" s="9">
        <f>IF(F364="","",COUNTIF(Ledger!$H:$H,F364))</f>
        <v/>
      </c>
      <c r="H364" s="9">
        <f>IF(F364="","",IF(COUNTIF($F:$F,F364)&gt;1,"REVIEW - same amount appears twice",IF(G364=0,"UNMATCHED - no ledger entry",IF(G364&gt;1,"REVIEW - matches several ledger entries","Matched"))))</f>
        <v/>
      </c>
    </row>
    <row r="365">
      <c r="A365" s="8" t="n"/>
      <c r="B365" s="9" t="n"/>
      <c r="C365" s="10" t="n"/>
      <c r="D365" s="10" t="n"/>
      <c r="E365" s="10">
        <f>N(C365)-N(D365)</f>
        <v/>
      </c>
      <c r="F365" s="9">
        <f>IF(E365=0,"",TEXT(ABS(E365),"0.00")&amp;"|"&amp;IF(E365&gt;0,"AR","AP"))</f>
        <v/>
      </c>
      <c r="G365" s="9">
        <f>IF(F365="","",COUNTIF(Ledger!$H:$H,F365))</f>
        <v/>
      </c>
      <c r="H365" s="9">
        <f>IF(F365="","",IF(COUNTIF($F:$F,F365)&gt;1,"REVIEW - same amount appears twice",IF(G365=0,"UNMATCHED - no ledger entry",IF(G365&gt;1,"REVIEW - matches several ledger entries","Matched"))))</f>
        <v/>
      </c>
    </row>
    <row r="366">
      <c r="A366" s="8" t="n"/>
      <c r="B366" s="9" t="n"/>
      <c r="C366" s="10" t="n"/>
      <c r="D366" s="10" t="n"/>
      <c r="E366" s="10">
        <f>N(C366)-N(D366)</f>
        <v/>
      </c>
      <c r="F366" s="9">
        <f>IF(E366=0,"",TEXT(ABS(E366),"0.00")&amp;"|"&amp;IF(E366&gt;0,"AR","AP"))</f>
        <v/>
      </c>
      <c r="G366" s="9">
        <f>IF(F366="","",COUNTIF(Ledger!$H:$H,F366))</f>
        <v/>
      </c>
      <c r="H366" s="9">
        <f>IF(F366="","",IF(COUNTIF($F:$F,F366)&gt;1,"REVIEW - same amount appears twice",IF(G366=0,"UNMATCHED - no ledger entry",IF(G366&gt;1,"REVIEW - matches several ledger entries","Matched"))))</f>
        <v/>
      </c>
    </row>
    <row r="367">
      <c r="A367" s="8" t="n"/>
      <c r="B367" s="9" t="n"/>
      <c r="C367" s="10" t="n"/>
      <c r="D367" s="10" t="n"/>
      <c r="E367" s="10">
        <f>N(C367)-N(D367)</f>
        <v/>
      </c>
      <c r="F367" s="9">
        <f>IF(E367=0,"",TEXT(ABS(E367),"0.00")&amp;"|"&amp;IF(E367&gt;0,"AR","AP"))</f>
        <v/>
      </c>
      <c r="G367" s="9">
        <f>IF(F367="","",COUNTIF(Ledger!$H:$H,F367))</f>
        <v/>
      </c>
      <c r="H367" s="9">
        <f>IF(F367="","",IF(COUNTIF($F:$F,F367)&gt;1,"REVIEW - same amount appears twice",IF(G367=0,"UNMATCHED - no ledger entry",IF(G367&gt;1,"REVIEW - matches several ledger entries","Matched"))))</f>
        <v/>
      </c>
    </row>
    <row r="368">
      <c r="A368" s="8" t="n"/>
      <c r="B368" s="9" t="n"/>
      <c r="C368" s="10" t="n"/>
      <c r="D368" s="10" t="n"/>
      <c r="E368" s="10">
        <f>N(C368)-N(D368)</f>
        <v/>
      </c>
      <c r="F368" s="9">
        <f>IF(E368=0,"",TEXT(ABS(E368),"0.00")&amp;"|"&amp;IF(E368&gt;0,"AR","AP"))</f>
        <v/>
      </c>
      <c r="G368" s="9">
        <f>IF(F368="","",COUNTIF(Ledger!$H:$H,F368))</f>
        <v/>
      </c>
      <c r="H368" s="9">
        <f>IF(F368="","",IF(COUNTIF($F:$F,F368)&gt;1,"REVIEW - same amount appears twice",IF(G368=0,"UNMATCHED - no ledger entry",IF(G368&gt;1,"REVIEW - matches several ledger entries","Matched"))))</f>
        <v/>
      </c>
    </row>
    <row r="369">
      <c r="A369" s="8" t="n"/>
      <c r="B369" s="9" t="n"/>
      <c r="C369" s="10" t="n"/>
      <c r="D369" s="10" t="n"/>
      <c r="E369" s="10">
        <f>N(C369)-N(D369)</f>
        <v/>
      </c>
      <c r="F369" s="9">
        <f>IF(E369=0,"",TEXT(ABS(E369),"0.00")&amp;"|"&amp;IF(E369&gt;0,"AR","AP"))</f>
        <v/>
      </c>
      <c r="G369" s="9">
        <f>IF(F369="","",COUNTIF(Ledger!$H:$H,F369))</f>
        <v/>
      </c>
      <c r="H369" s="9">
        <f>IF(F369="","",IF(COUNTIF($F:$F,F369)&gt;1,"REVIEW - same amount appears twice",IF(G369=0,"UNMATCHED - no ledger entry",IF(G369&gt;1,"REVIEW - matches several ledger entries","Matched"))))</f>
        <v/>
      </c>
    </row>
    <row r="370">
      <c r="A370" s="8" t="n"/>
      <c r="B370" s="9" t="n"/>
      <c r="C370" s="10" t="n"/>
      <c r="D370" s="10" t="n"/>
      <c r="E370" s="10">
        <f>N(C370)-N(D370)</f>
        <v/>
      </c>
      <c r="F370" s="9">
        <f>IF(E370=0,"",TEXT(ABS(E370),"0.00")&amp;"|"&amp;IF(E370&gt;0,"AR","AP"))</f>
        <v/>
      </c>
      <c r="G370" s="9">
        <f>IF(F370="","",COUNTIF(Ledger!$H:$H,F370))</f>
        <v/>
      </c>
      <c r="H370" s="9">
        <f>IF(F370="","",IF(COUNTIF($F:$F,F370)&gt;1,"REVIEW - same amount appears twice",IF(G370=0,"UNMATCHED - no ledger entry",IF(G370&gt;1,"REVIEW - matches several ledger entries","Matched"))))</f>
        <v/>
      </c>
    </row>
    <row r="371">
      <c r="A371" s="8" t="n"/>
      <c r="B371" s="9" t="n"/>
      <c r="C371" s="10" t="n"/>
      <c r="D371" s="10" t="n"/>
      <c r="E371" s="10">
        <f>N(C371)-N(D371)</f>
        <v/>
      </c>
      <c r="F371" s="9">
        <f>IF(E371=0,"",TEXT(ABS(E371),"0.00")&amp;"|"&amp;IF(E371&gt;0,"AR","AP"))</f>
        <v/>
      </c>
      <c r="G371" s="9">
        <f>IF(F371="","",COUNTIF(Ledger!$H:$H,F371))</f>
        <v/>
      </c>
      <c r="H371" s="9">
        <f>IF(F371="","",IF(COUNTIF($F:$F,F371)&gt;1,"REVIEW - same amount appears twice",IF(G371=0,"UNMATCHED - no ledger entry",IF(G371&gt;1,"REVIEW - matches several ledger entries","Matched"))))</f>
        <v/>
      </c>
    </row>
    <row r="372">
      <c r="A372" s="8" t="n"/>
      <c r="B372" s="9" t="n"/>
      <c r="C372" s="10" t="n"/>
      <c r="D372" s="10" t="n"/>
      <c r="E372" s="10">
        <f>N(C372)-N(D372)</f>
        <v/>
      </c>
      <c r="F372" s="9">
        <f>IF(E372=0,"",TEXT(ABS(E372),"0.00")&amp;"|"&amp;IF(E372&gt;0,"AR","AP"))</f>
        <v/>
      </c>
      <c r="G372" s="9">
        <f>IF(F372="","",COUNTIF(Ledger!$H:$H,F372))</f>
        <v/>
      </c>
      <c r="H372" s="9">
        <f>IF(F372="","",IF(COUNTIF($F:$F,F372)&gt;1,"REVIEW - same amount appears twice",IF(G372=0,"UNMATCHED - no ledger entry",IF(G372&gt;1,"REVIEW - matches several ledger entries","Matched"))))</f>
        <v/>
      </c>
    </row>
    <row r="373">
      <c r="A373" s="8" t="n"/>
      <c r="B373" s="9" t="n"/>
      <c r="C373" s="10" t="n"/>
      <c r="D373" s="10" t="n"/>
      <c r="E373" s="10">
        <f>N(C373)-N(D373)</f>
        <v/>
      </c>
      <c r="F373" s="9">
        <f>IF(E373=0,"",TEXT(ABS(E373),"0.00")&amp;"|"&amp;IF(E373&gt;0,"AR","AP"))</f>
        <v/>
      </c>
      <c r="G373" s="9">
        <f>IF(F373="","",COUNTIF(Ledger!$H:$H,F373))</f>
        <v/>
      </c>
      <c r="H373" s="9">
        <f>IF(F373="","",IF(COUNTIF($F:$F,F373)&gt;1,"REVIEW - same amount appears twice",IF(G373=0,"UNMATCHED - no ledger entry",IF(G373&gt;1,"REVIEW - matches several ledger entries","Matched"))))</f>
        <v/>
      </c>
    </row>
    <row r="374">
      <c r="A374" s="8" t="n"/>
      <c r="B374" s="9" t="n"/>
      <c r="C374" s="10" t="n"/>
      <c r="D374" s="10" t="n"/>
      <c r="E374" s="10">
        <f>N(C374)-N(D374)</f>
        <v/>
      </c>
      <c r="F374" s="9">
        <f>IF(E374=0,"",TEXT(ABS(E374),"0.00")&amp;"|"&amp;IF(E374&gt;0,"AR","AP"))</f>
        <v/>
      </c>
      <c r="G374" s="9">
        <f>IF(F374="","",COUNTIF(Ledger!$H:$H,F374))</f>
        <v/>
      </c>
      <c r="H374" s="9">
        <f>IF(F374="","",IF(COUNTIF($F:$F,F374)&gt;1,"REVIEW - same amount appears twice",IF(G374=0,"UNMATCHED - no ledger entry",IF(G374&gt;1,"REVIEW - matches several ledger entries","Matched"))))</f>
        <v/>
      </c>
    </row>
    <row r="375">
      <c r="A375" s="8" t="n"/>
      <c r="B375" s="9" t="n"/>
      <c r="C375" s="10" t="n"/>
      <c r="D375" s="10" t="n"/>
      <c r="E375" s="10">
        <f>N(C375)-N(D375)</f>
        <v/>
      </c>
      <c r="F375" s="9">
        <f>IF(E375=0,"",TEXT(ABS(E375),"0.00")&amp;"|"&amp;IF(E375&gt;0,"AR","AP"))</f>
        <v/>
      </c>
      <c r="G375" s="9">
        <f>IF(F375="","",COUNTIF(Ledger!$H:$H,F375))</f>
        <v/>
      </c>
      <c r="H375" s="9">
        <f>IF(F375="","",IF(COUNTIF($F:$F,F375)&gt;1,"REVIEW - same amount appears twice",IF(G375=0,"UNMATCHED - no ledger entry",IF(G375&gt;1,"REVIEW - matches several ledger entries","Matched"))))</f>
        <v/>
      </c>
    </row>
    <row r="376">
      <c r="A376" s="8" t="n"/>
      <c r="B376" s="9" t="n"/>
      <c r="C376" s="10" t="n"/>
      <c r="D376" s="10" t="n"/>
      <c r="E376" s="10">
        <f>N(C376)-N(D376)</f>
        <v/>
      </c>
      <c r="F376" s="9">
        <f>IF(E376=0,"",TEXT(ABS(E376),"0.00")&amp;"|"&amp;IF(E376&gt;0,"AR","AP"))</f>
        <v/>
      </c>
      <c r="G376" s="9">
        <f>IF(F376="","",COUNTIF(Ledger!$H:$H,F376))</f>
        <v/>
      </c>
      <c r="H376" s="9">
        <f>IF(F376="","",IF(COUNTIF($F:$F,F376)&gt;1,"REVIEW - same amount appears twice",IF(G376=0,"UNMATCHED - no ledger entry",IF(G376&gt;1,"REVIEW - matches several ledger entries","Matched"))))</f>
        <v/>
      </c>
    </row>
    <row r="377">
      <c r="A377" s="8" t="n"/>
      <c r="B377" s="9" t="n"/>
      <c r="C377" s="10" t="n"/>
      <c r="D377" s="10" t="n"/>
      <c r="E377" s="10">
        <f>N(C377)-N(D377)</f>
        <v/>
      </c>
      <c r="F377" s="9">
        <f>IF(E377=0,"",TEXT(ABS(E377),"0.00")&amp;"|"&amp;IF(E377&gt;0,"AR","AP"))</f>
        <v/>
      </c>
      <c r="G377" s="9">
        <f>IF(F377="","",COUNTIF(Ledger!$H:$H,F377))</f>
        <v/>
      </c>
      <c r="H377" s="9">
        <f>IF(F377="","",IF(COUNTIF($F:$F,F377)&gt;1,"REVIEW - same amount appears twice",IF(G377=0,"UNMATCHED - no ledger entry",IF(G377&gt;1,"REVIEW - matches several ledger entries","Matched"))))</f>
        <v/>
      </c>
    </row>
    <row r="378">
      <c r="A378" s="8" t="n"/>
      <c r="B378" s="9" t="n"/>
      <c r="C378" s="10" t="n"/>
      <c r="D378" s="10" t="n"/>
      <c r="E378" s="10">
        <f>N(C378)-N(D378)</f>
        <v/>
      </c>
      <c r="F378" s="9">
        <f>IF(E378=0,"",TEXT(ABS(E378),"0.00")&amp;"|"&amp;IF(E378&gt;0,"AR","AP"))</f>
        <v/>
      </c>
      <c r="G378" s="9">
        <f>IF(F378="","",COUNTIF(Ledger!$H:$H,F378))</f>
        <v/>
      </c>
      <c r="H378" s="9">
        <f>IF(F378="","",IF(COUNTIF($F:$F,F378)&gt;1,"REVIEW - same amount appears twice",IF(G378=0,"UNMATCHED - no ledger entry",IF(G378&gt;1,"REVIEW - matches several ledger entries","Matched"))))</f>
        <v/>
      </c>
    </row>
    <row r="379">
      <c r="A379" s="8" t="n"/>
      <c r="B379" s="9" t="n"/>
      <c r="C379" s="10" t="n"/>
      <c r="D379" s="10" t="n"/>
      <c r="E379" s="10">
        <f>N(C379)-N(D379)</f>
        <v/>
      </c>
      <c r="F379" s="9">
        <f>IF(E379=0,"",TEXT(ABS(E379),"0.00")&amp;"|"&amp;IF(E379&gt;0,"AR","AP"))</f>
        <v/>
      </c>
      <c r="G379" s="9">
        <f>IF(F379="","",COUNTIF(Ledger!$H:$H,F379))</f>
        <v/>
      </c>
      <c r="H379" s="9">
        <f>IF(F379="","",IF(COUNTIF($F:$F,F379)&gt;1,"REVIEW - same amount appears twice",IF(G379=0,"UNMATCHED - no ledger entry",IF(G379&gt;1,"REVIEW - matches several ledger entries","Matched"))))</f>
        <v/>
      </c>
    </row>
    <row r="380">
      <c r="A380" s="8" t="n"/>
      <c r="B380" s="9" t="n"/>
      <c r="C380" s="10" t="n"/>
      <c r="D380" s="10" t="n"/>
      <c r="E380" s="10">
        <f>N(C380)-N(D380)</f>
        <v/>
      </c>
      <c r="F380" s="9">
        <f>IF(E380=0,"",TEXT(ABS(E380),"0.00")&amp;"|"&amp;IF(E380&gt;0,"AR","AP"))</f>
        <v/>
      </c>
      <c r="G380" s="9">
        <f>IF(F380="","",COUNTIF(Ledger!$H:$H,F380))</f>
        <v/>
      </c>
      <c r="H380" s="9">
        <f>IF(F380="","",IF(COUNTIF($F:$F,F380)&gt;1,"REVIEW - same amount appears twice",IF(G380=0,"UNMATCHED - no ledger entry",IF(G380&gt;1,"REVIEW - matches several ledger entries","Matched"))))</f>
        <v/>
      </c>
    </row>
    <row r="381">
      <c r="A381" s="8" t="n"/>
      <c r="B381" s="9" t="n"/>
      <c r="C381" s="10" t="n"/>
      <c r="D381" s="10" t="n"/>
      <c r="E381" s="10">
        <f>N(C381)-N(D381)</f>
        <v/>
      </c>
      <c r="F381" s="9">
        <f>IF(E381=0,"",TEXT(ABS(E381),"0.00")&amp;"|"&amp;IF(E381&gt;0,"AR","AP"))</f>
        <v/>
      </c>
      <c r="G381" s="9">
        <f>IF(F381="","",COUNTIF(Ledger!$H:$H,F381))</f>
        <v/>
      </c>
      <c r="H381" s="9">
        <f>IF(F381="","",IF(COUNTIF($F:$F,F381)&gt;1,"REVIEW - same amount appears twice",IF(G381=0,"UNMATCHED - no ledger entry",IF(G381&gt;1,"REVIEW - matches several ledger entries","Matched"))))</f>
        <v/>
      </c>
    </row>
    <row r="382">
      <c r="A382" s="8" t="n"/>
      <c r="B382" s="9" t="n"/>
      <c r="C382" s="10" t="n"/>
      <c r="D382" s="10" t="n"/>
      <c r="E382" s="10">
        <f>N(C382)-N(D382)</f>
        <v/>
      </c>
      <c r="F382" s="9">
        <f>IF(E382=0,"",TEXT(ABS(E382),"0.00")&amp;"|"&amp;IF(E382&gt;0,"AR","AP"))</f>
        <v/>
      </c>
      <c r="G382" s="9">
        <f>IF(F382="","",COUNTIF(Ledger!$H:$H,F382))</f>
        <v/>
      </c>
      <c r="H382" s="9">
        <f>IF(F382="","",IF(COUNTIF($F:$F,F382)&gt;1,"REVIEW - same amount appears twice",IF(G382=0,"UNMATCHED - no ledger entry",IF(G382&gt;1,"REVIEW - matches several ledger entries","Matched"))))</f>
        <v/>
      </c>
    </row>
    <row r="383">
      <c r="A383" s="8" t="n"/>
      <c r="B383" s="9" t="n"/>
      <c r="C383" s="10" t="n"/>
      <c r="D383" s="10" t="n"/>
      <c r="E383" s="10">
        <f>N(C383)-N(D383)</f>
        <v/>
      </c>
      <c r="F383" s="9">
        <f>IF(E383=0,"",TEXT(ABS(E383),"0.00")&amp;"|"&amp;IF(E383&gt;0,"AR","AP"))</f>
        <v/>
      </c>
      <c r="G383" s="9">
        <f>IF(F383="","",COUNTIF(Ledger!$H:$H,F383))</f>
        <v/>
      </c>
      <c r="H383" s="9">
        <f>IF(F383="","",IF(COUNTIF($F:$F,F383)&gt;1,"REVIEW - same amount appears twice",IF(G383=0,"UNMATCHED - no ledger entry",IF(G383&gt;1,"REVIEW - matches several ledger entries","Matched"))))</f>
        <v/>
      </c>
    </row>
    <row r="384">
      <c r="A384" s="8" t="n"/>
      <c r="B384" s="9" t="n"/>
      <c r="C384" s="10" t="n"/>
      <c r="D384" s="10" t="n"/>
      <c r="E384" s="10">
        <f>N(C384)-N(D384)</f>
        <v/>
      </c>
      <c r="F384" s="9">
        <f>IF(E384=0,"",TEXT(ABS(E384),"0.00")&amp;"|"&amp;IF(E384&gt;0,"AR","AP"))</f>
        <v/>
      </c>
      <c r="G384" s="9">
        <f>IF(F384="","",COUNTIF(Ledger!$H:$H,F384))</f>
        <v/>
      </c>
      <c r="H384" s="9">
        <f>IF(F384="","",IF(COUNTIF($F:$F,F384)&gt;1,"REVIEW - same amount appears twice",IF(G384=0,"UNMATCHED - no ledger entry",IF(G384&gt;1,"REVIEW - matches several ledger entries","Matched"))))</f>
        <v/>
      </c>
    </row>
    <row r="385">
      <c r="A385" s="8" t="n"/>
      <c r="B385" s="9" t="n"/>
      <c r="C385" s="10" t="n"/>
      <c r="D385" s="10" t="n"/>
      <c r="E385" s="10">
        <f>N(C385)-N(D385)</f>
        <v/>
      </c>
      <c r="F385" s="9">
        <f>IF(E385=0,"",TEXT(ABS(E385),"0.00")&amp;"|"&amp;IF(E385&gt;0,"AR","AP"))</f>
        <v/>
      </c>
      <c r="G385" s="9">
        <f>IF(F385="","",COUNTIF(Ledger!$H:$H,F385))</f>
        <v/>
      </c>
      <c r="H385" s="9">
        <f>IF(F385="","",IF(COUNTIF($F:$F,F385)&gt;1,"REVIEW - same amount appears twice",IF(G385=0,"UNMATCHED - no ledger entry",IF(G385&gt;1,"REVIEW - matches several ledger entries","Matched"))))</f>
        <v/>
      </c>
    </row>
    <row r="386">
      <c r="A386" s="8" t="n"/>
      <c r="B386" s="9" t="n"/>
      <c r="C386" s="10" t="n"/>
      <c r="D386" s="10" t="n"/>
      <c r="E386" s="10">
        <f>N(C386)-N(D386)</f>
        <v/>
      </c>
      <c r="F386" s="9">
        <f>IF(E386=0,"",TEXT(ABS(E386),"0.00")&amp;"|"&amp;IF(E386&gt;0,"AR","AP"))</f>
        <v/>
      </c>
      <c r="G386" s="9">
        <f>IF(F386="","",COUNTIF(Ledger!$H:$H,F386))</f>
        <v/>
      </c>
      <c r="H386" s="9">
        <f>IF(F386="","",IF(COUNTIF($F:$F,F386)&gt;1,"REVIEW - same amount appears twice",IF(G386=0,"UNMATCHED - no ledger entry",IF(G386&gt;1,"REVIEW - matches several ledger entries","Matched"))))</f>
        <v/>
      </c>
    </row>
    <row r="387">
      <c r="A387" s="8" t="n"/>
      <c r="B387" s="9" t="n"/>
      <c r="C387" s="10" t="n"/>
      <c r="D387" s="10" t="n"/>
      <c r="E387" s="10">
        <f>N(C387)-N(D387)</f>
        <v/>
      </c>
      <c r="F387" s="9">
        <f>IF(E387=0,"",TEXT(ABS(E387),"0.00")&amp;"|"&amp;IF(E387&gt;0,"AR","AP"))</f>
        <v/>
      </c>
      <c r="G387" s="9">
        <f>IF(F387="","",COUNTIF(Ledger!$H:$H,F387))</f>
        <v/>
      </c>
      <c r="H387" s="9">
        <f>IF(F387="","",IF(COUNTIF($F:$F,F387)&gt;1,"REVIEW - same amount appears twice",IF(G387=0,"UNMATCHED - no ledger entry",IF(G387&gt;1,"REVIEW - matches several ledger entries","Matched"))))</f>
        <v/>
      </c>
    </row>
    <row r="388">
      <c r="A388" s="8" t="n"/>
      <c r="B388" s="9" t="n"/>
      <c r="C388" s="10" t="n"/>
      <c r="D388" s="10" t="n"/>
      <c r="E388" s="10">
        <f>N(C388)-N(D388)</f>
        <v/>
      </c>
      <c r="F388" s="9">
        <f>IF(E388=0,"",TEXT(ABS(E388),"0.00")&amp;"|"&amp;IF(E388&gt;0,"AR","AP"))</f>
        <v/>
      </c>
      <c r="G388" s="9">
        <f>IF(F388="","",COUNTIF(Ledger!$H:$H,F388))</f>
        <v/>
      </c>
      <c r="H388" s="9">
        <f>IF(F388="","",IF(COUNTIF($F:$F,F388)&gt;1,"REVIEW - same amount appears twice",IF(G388=0,"UNMATCHED - no ledger entry",IF(G388&gt;1,"REVIEW - matches several ledger entries","Matched"))))</f>
        <v/>
      </c>
    </row>
    <row r="389">
      <c r="A389" s="8" t="n"/>
      <c r="B389" s="9" t="n"/>
      <c r="C389" s="10" t="n"/>
      <c r="D389" s="10" t="n"/>
      <c r="E389" s="10">
        <f>N(C389)-N(D389)</f>
        <v/>
      </c>
      <c r="F389" s="9">
        <f>IF(E389=0,"",TEXT(ABS(E389),"0.00")&amp;"|"&amp;IF(E389&gt;0,"AR","AP"))</f>
        <v/>
      </c>
      <c r="G389" s="9">
        <f>IF(F389="","",COUNTIF(Ledger!$H:$H,F389))</f>
        <v/>
      </c>
      <c r="H389" s="9">
        <f>IF(F389="","",IF(COUNTIF($F:$F,F389)&gt;1,"REVIEW - same amount appears twice",IF(G389=0,"UNMATCHED - no ledger entry",IF(G389&gt;1,"REVIEW - matches several ledger entries","Matched"))))</f>
        <v/>
      </c>
    </row>
    <row r="390">
      <c r="A390" s="8" t="n"/>
      <c r="B390" s="9" t="n"/>
      <c r="C390" s="10" t="n"/>
      <c r="D390" s="10" t="n"/>
      <c r="E390" s="10">
        <f>N(C390)-N(D390)</f>
        <v/>
      </c>
      <c r="F390" s="9">
        <f>IF(E390=0,"",TEXT(ABS(E390),"0.00")&amp;"|"&amp;IF(E390&gt;0,"AR","AP"))</f>
        <v/>
      </c>
      <c r="G390" s="9">
        <f>IF(F390="","",COUNTIF(Ledger!$H:$H,F390))</f>
        <v/>
      </c>
      <c r="H390" s="9">
        <f>IF(F390="","",IF(COUNTIF($F:$F,F390)&gt;1,"REVIEW - same amount appears twice",IF(G390=0,"UNMATCHED - no ledger entry",IF(G390&gt;1,"REVIEW - matches several ledger entries","Matched"))))</f>
        <v/>
      </c>
    </row>
    <row r="391">
      <c r="A391" s="8" t="n"/>
      <c r="B391" s="9" t="n"/>
      <c r="C391" s="10" t="n"/>
      <c r="D391" s="10" t="n"/>
      <c r="E391" s="10">
        <f>N(C391)-N(D391)</f>
        <v/>
      </c>
      <c r="F391" s="9">
        <f>IF(E391=0,"",TEXT(ABS(E391),"0.00")&amp;"|"&amp;IF(E391&gt;0,"AR","AP"))</f>
        <v/>
      </c>
      <c r="G391" s="9">
        <f>IF(F391="","",COUNTIF(Ledger!$H:$H,F391))</f>
        <v/>
      </c>
      <c r="H391" s="9">
        <f>IF(F391="","",IF(COUNTIF($F:$F,F391)&gt;1,"REVIEW - same amount appears twice",IF(G391=0,"UNMATCHED - no ledger entry",IF(G391&gt;1,"REVIEW - matches several ledger entries","Matched"))))</f>
        <v/>
      </c>
    </row>
    <row r="392">
      <c r="A392" s="8" t="n"/>
      <c r="B392" s="9" t="n"/>
      <c r="C392" s="10" t="n"/>
      <c r="D392" s="10" t="n"/>
      <c r="E392" s="10">
        <f>N(C392)-N(D392)</f>
        <v/>
      </c>
      <c r="F392" s="9">
        <f>IF(E392=0,"",TEXT(ABS(E392),"0.00")&amp;"|"&amp;IF(E392&gt;0,"AR","AP"))</f>
        <v/>
      </c>
      <c r="G392" s="9">
        <f>IF(F392="","",COUNTIF(Ledger!$H:$H,F392))</f>
        <v/>
      </c>
      <c r="H392" s="9">
        <f>IF(F392="","",IF(COUNTIF($F:$F,F392)&gt;1,"REVIEW - same amount appears twice",IF(G392=0,"UNMATCHED - no ledger entry",IF(G392&gt;1,"REVIEW - matches several ledger entries","Matched"))))</f>
        <v/>
      </c>
    </row>
    <row r="393">
      <c r="A393" s="8" t="n"/>
      <c r="B393" s="9" t="n"/>
      <c r="C393" s="10" t="n"/>
      <c r="D393" s="10" t="n"/>
      <c r="E393" s="10">
        <f>N(C393)-N(D393)</f>
        <v/>
      </c>
      <c r="F393" s="9">
        <f>IF(E393=0,"",TEXT(ABS(E393),"0.00")&amp;"|"&amp;IF(E393&gt;0,"AR","AP"))</f>
        <v/>
      </c>
      <c r="G393" s="9">
        <f>IF(F393="","",COUNTIF(Ledger!$H:$H,F393))</f>
        <v/>
      </c>
      <c r="H393" s="9">
        <f>IF(F393="","",IF(COUNTIF($F:$F,F393)&gt;1,"REVIEW - same amount appears twice",IF(G393=0,"UNMATCHED - no ledger entry",IF(G393&gt;1,"REVIEW - matches several ledger entries","Matched"))))</f>
        <v/>
      </c>
    </row>
    <row r="394">
      <c r="A394" s="8" t="n"/>
      <c r="B394" s="9" t="n"/>
      <c r="C394" s="10" t="n"/>
      <c r="D394" s="10" t="n"/>
      <c r="E394" s="10">
        <f>N(C394)-N(D394)</f>
        <v/>
      </c>
      <c r="F394" s="9">
        <f>IF(E394=0,"",TEXT(ABS(E394),"0.00")&amp;"|"&amp;IF(E394&gt;0,"AR","AP"))</f>
        <v/>
      </c>
      <c r="G394" s="9">
        <f>IF(F394="","",COUNTIF(Ledger!$H:$H,F394))</f>
        <v/>
      </c>
      <c r="H394" s="9">
        <f>IF(F394="","",IF(COUNTIF($F:$F,F394)&gt;1,"REVIEW - same amount appears twice",IF(G394=0,"UNMATCHED - no ledger entry",IF(G394&gt;1,"REVIEW - matches several ledger entries","Matched"))))</f>
        <v/>
      </c>
    </row>
    <row r="395">
      <c r="A395" s="8" t="n"/>
      <c r="B395" s="9" t="n"/>
      <c r="C395" s="10" t="n"/>
      <c r="D395" s="10" t="n"/>
      <c r="E395" s="10">
        <f>N(C395)-N(D395)</f>
        <v/>
      </c>
      <c r="F395" s="9">
        <f>IF(E395=0,"",TEXT(ABS(E395),"0.00")&amp;"|"&amp;IF(E395&gt;0,"AR","AP"))</f>
        <v/>
      </c>
      <c r="G395" s="9">
        <f>IF(F395="","",COUNTIF(Ledger!$H:$H,F395))</f>
        <v/>
      </c>
      <c r="H395" s="9">
        <f>IF(F395="","",IF(COUNTIF($F:$F,F395)&gt;1,"REVIEW - same amount appears twice",IF(G395=0,"UNMATCHED - no ledger entry",IF(G395&gt;1,"REVIEW - matches several ledger entries","Matched"))))</f>
        <v/>
      </c>
    </row>
    <row r="396">
      <c r="A396" s="8" t="n"/>
      <c r="B396" s="9" t="n"/>
      <c r="C396" s="10" t="n"/>
      <c r="D396" s="10" t="n"/>
      <c r="E396" s="10">
        <f>N(C396)-N(D396)</f>
        <v/>
      </c>
      <c r="F396" s="9">
        <f>IF(E396=0,"",TEXT(ABS(E396),"0.00")&amp;"|"&amp;IF(E396&gt;0,"AR","AP"))</f>
        <v/>
      </c>
      <c r="G396" s="9">
        <f>IF(F396="","",COUNTIF(Ledger!$H:$H,F396))</f>
        <v/>
      </c>
      <c r="H396" s="9">
        <f>IF(F396="","",IF(COUNTIF($F:$F,F396)&gt;1,"REVIEW - same amount appears twice",IF(G396=0,"UNMATCHED - no ledger entry",IF(G396&gt;1,"REVIEW - matches several ledger entries","Matched"))))</f>
        <v/>
      </c>
    </row>
    <row r="397">
      <c r="A397" s="8" t="n"/>
      <c r="B397" s="9" t="n"/>
      <c r="C397" s="10" t="n"/>
      <c r="D397" s="10" t="n"/>
      <c r="E397" s="10">
        <f>N(C397)-N(D397)</f>
        <v/>
      </c>
      <c r="F397" s="9">
        <f>IF(E397=0,"",TEXT(ABS(E397),"0.00")&amp;"|"&amp;IF(E397&gt;0,"AR","AP"))</f>
        <v/>
      </c>
      <c r="G397" s="9">
        <f>IF(F397="","",COUNTIF(Ledger!$H:$H,F397))</f>
        <v/>
      </c>
      <c r="H397" s="9">
        <f>IF(F397="","",IF(COUNTIF($F:$F,F397)&gt;1,"REVIEW - same amount appears twice",IF(G397=0,"UNMATCHED - no ledger entry",IF(G397&gt;1,"REVIEW - matches several ledger entries","Matched"))))</f>
        <v/>
      </c>
    </row>
    <row r="398">
      <c r="A398" s="8" t="n"/>
      <c r="B398" s="9" t="n"/>
      <c r="C398" s="10" t="n"/>
      <c r="D398" s="10" t="n"/>
      <c r="E398" s="10">
        <f>N(C398)-N(D398)</f>
        <v/>
      </c>
      <c r="F398" s="9">
        <f>IF(E398=0,"",TEXT(ABS(E398),"0.00")&amp;"|"&amp;IF(E398&gt;0,"AR","AP"))</f>
        <v/>
      </c>
      <c r="G398" s="9">
        <f>IF(F398="","",COUNTIF(Ledger!$H:$H,F398))</f>
        <v/>
      </c>
      <c r="H398" s="9">
        <f>IF(F398="","",IF(COUNTIF($F:$F,F398)&gt;1,"REVIEW - same amount appears twice",IF(G398=0,"UNMATCHED - no ledger entry",IF(G398&gt;1,"REVIEW - matches several ledger entries","Matched"))))</f>
        <v/>
      </c>
    </row>
    <row r="399">
      <c r="A399" s="8" t="n"/>
      <c r="B399" s="9" t="n"/>
      <c r="C399" s="10" t="n"/>
      <c r="D399" s="10" t="n"/>
      <c r="E399" s="10">
        <f>N(C399)-N(D399)</f>
        <v/>
      </c>
      <c r="F399" s="9">
        <f>IF(E399=0,"",TEXT(ABS(E399),"0.00")&amp;"|"&amp;IF(E399&gt;0,"AR","AP"))</f>
        <v/>
      </c>
      <c r="G399" s="9">
        <f>IF(F399="","",COUNTIF(Ledger!$H:$H,F399))</f>
        <v/>
      </c>
      <c r="H399" s="9">
        <f>IF(F399="","",IF(COUNTIF($F:$F,F399)&gt;1,"REVIEW - same amount appears twice",IF(G399=0,"UNMATCHED - no ledger entry",IF(G399&gt;1,"REVIEW - matches several ledger entries","Matched"))))</f>
        <v/>
      </c>
    </row>
    <row r="400">
      <c r="A400" s="8" t="n"/>
      <c r="B400" s="9" t="n"/>
      <c r="C400" s="10" t="n"/>
      <c r="D400" s="10" t="n"/>
      <c r="E400" s="10">
        <f>N(C400)-N(D400)</f>
        <v/>
      </c>
      <c r="F400" s="9">
        <f>IF(E400=0,"",TEXT(ABS(E400),"0.00")&amp;"|"&amp;IF(E400&gt;0,"AR","AP"))</f>
        <v/>
      </c>
      <c r="G400" s="9">
        <f>IF(F400="","",COUNTIF(Ledger!$H:$H,F400))</f>
        <v/>
      </c>
      <c r="H400" s="9">
        <f>IF(F400="","",IF(COUNTIF($F:$F,F400)&gt;1,"REVIEW - same amount appears twice",IF(G400=0,"UNMATCHED - no ledger entry",IF(G400&gt;1,"REVIEW - matches several ledger entries","Matched"))))</f>
        <v/>
      </c>
    </row>
    <row r="401">
      <c r="A401" s="8" t="n"/>
      <c r="B401" s="9" t="n"/>
      <c r="C401" s="10" t="n"/>
      <c r="D401" s="10" t="n"/>
      <c r="E401" s="10">
        <f>N(C401)-N(D401)</f>
        <v/>
      </c>
      <c r="F401" s="9">
        <f>IF(E401=0,"",TEXT(ABS(E401),"0.00")&amp;"|"&amp;IF(E401&gt;0,"AR","AP"))</f>
        <v/>
      </c>
      <c r="G401" s="9">
        <f>IF(F401="","",COUNTIF(Ledger!$H:$H,F401))</f>
        <v/>
      </c>
      <c r="H401" s="9">
        <f>IF(F401="","",IF(COUNTIF($F:$F,F401)&gt;1,"REVIEW - same amount appears twice",IF(G401=0,"UNMATCHED - no ledger entry",IF(G401&gt;1,"REVIEW - matches several ledger entries","Matched"))))</f>
        <v/>
      </c>
    </row>
    <row r="402">
      <c r="A402" s="8" t="n"/>
      <c r="B402" s="9" t="n"/>
      <c r="C402" s="10" t="n"/>
      <c r="D402" s="10" t="n"/>
      <c r="E402" s="10">
        <f>N(C402)-N(D402)</f>
        <v/>
      </c>
      <c r="F402" s="9">
        <f>IF(E402=0,"",TEXT(ABS(E402),"0.00")&amp;"|"&amp;IF(E402&gt;0,"AR","AP"))</f>
        <v/>
      </c>
      <c r="G402" s="9">
        <f>IF(F402="","",COUNTIF(Ledger!$H:$H,F402))</f>
        <v/>
      </c>
      <c r="H402" s="9">
        <f>IF(F402="","",IF(COUNTIF($F:$F,F402)&gt;1,"REVIEW - same amount appears twice",IF(G402=0,"UNMATCHED - no ledger entry",IF(G402&gt;1,"REVIEW - matches several ledger entries","Matched"))))</f>
        <v/>
      </c>
    </row>
    <row r="403">
      <c r="A403" s="8" t="n"/>
      <c r="B403" s="9" t="n"/>
      <c r="C403" s="10" t="n"/>
      <c r="D403" s="10" t="n"/>
      <c r="E403" s="10">
        <f>N(C403)-N(D403)</f>
        <v/>
      </c>
      <c r="F403" s="9">
        <f>IF(E403=0,"",TEXT(ABS(E403),"0.00")&amp;"|"&amp;IF(E403&gt;0,"AR","AP"))</f>
        <v/>
      </c>
      <c r="G403" s="9">
        <f>IF(F403="","",COUNTIF(Ledger!$H:$H,F403))</f>
        <v/>
      </c>
      <c r="H403" s="9">
        <f>IF(F403="","",IF(COUNTIF($F:$F,F403)&gt;1,"REVIEW - same amount appears twice",IF(G403=0,"UNMATCHED - no ledger entry",IF(G403&gt;1,"REVIEW - matches several ledger entries","Matched"))))</f>
        <v/>
      </c>
    </row>
    <row r="404">
      <c r="A404" s="8" t="n"/>
      <c r="B404" s="9" t="n"/>
      <c r="C404" s="10" t="n"/>
      <c r="D404" s="10" t="n"/>
      <c r="E404" s="10">
        <f>N(C404)-N(D404)</f>
        <v/>
      </c>
      <c r="F404" s="9">
        <f>IF(E404=0,"",TEXT(ABS(E404),"0.00")&amp;"|"&amp;IF(E404&gt;0,"AR","AP"))</f>
        <v/>
      </c>
      <c r="G404" s="9">
        <f>IF(F404="","",COUNTIF(Ledger!$H:$H,F404))</f>
        <v/>
      </c>
      <c r="H404" s="9">
        <f>IF(F404="","",IF(COUNTIF($F:$F,F404)&gt;1,"REVIEW - same amount appears twice",IF(G404=0,"UNMATCHED - no ledger entry",IF(G404&gt;1,"REVIEW - matches several ledger entries","Matched"))))</f>
        <v/>
      </c>
    </row>
    <row r="405">
      <c r="A405" s="8" t="n"/>
      <c r="B405" s="9" t="n"/>
      <c r="C405" s="10" t="n"/>
      <c r="D405" s="10" t="n"/>
      <c r="E405" s="10">
        <f>N(C405)-N(D405)</f>
        <v/>
      </c>
      <c r="F405" s="9">
        <f>IF(E405=0,"",TEXT(ABS(E405),"0.00")&amp;"|"&amp;IF(E405&gt;0,"AR","AP"))</f>
        <v/>
      </c>
      <c r="G405" s="9">
        <f>IF(F405="","",COUNTIF(Ledger!$H:$H,F405))</f>
        <v/>
      </c>
      <c r="H405" s="9">
        <f>IF(F405="","",IF(COUNTIF($F:$F,F405)&gt;1,"REVIEW - same amount appears twice",IF(G405=0,"UNMATCHED - no ledger entry",IF(G405&gt;1,"REVIEW - matches several ledger entries","Matched"))))</f>
        <v/>
      </c>
    </row>
    <row r="406">
      <c r="A406" s="8" t="n"/>
      <c r="B406" s="9" t="n"/>
      <c r="C406" s="10" t="n"/>
      <c r="D406" s="10" t="n"/>
      <c r="E406" s="10">
        <f>N(C406)-N(D406)</f>
        <v/>
      </c>
      <c r="F406" s="9">
        <f>IF(E406=0,"",TEXT(ABS(E406),"0.00")&amp;"|"&amp;IF(E406&gt;0,"AR","AP"))</f>
        <v/>
      </c>
      <c r="G406" s="9">
        <f>IF(F406="","",COUNTIF(Ledger!$H:$H,F406))</f>
        <v/>
      </c>
      <c r="H406" s="9">
        <f>IF(F406="","",IF(COUNTIF($F:$F,F406)&gt;1,"REVIEW - same amount appears twice",IF(G406=0,"UNMATCHED - no ledger entry",IF(G406&gt;1,"REVIEW - matches several ledger entries","Matched"))))</f>
        <v/>
      </c>
    </row>
    <row r="407">
      <c r="A407" s="8" t="n"/>
      <c r="B407" s="9" t="n"/>
      <c r="C407" s="10" t="n"/>
      <c r="D407" s="10" t="n"/>
      <c r="E407" s="10">
        <f>N(C407)-N(D407)</f>
        <v/>
      </c>
      <c r="F407" s="9">
        <f>IF(E407=0,"",TEXT(ABS(E407),"0.00")&amp;"|"&amp;IF(E407&gt;0,"AR","AP"))</f>
        <v/>
      </c>
      <c r="G407" s="9">
        <f>IF(F407="","",COUNTIF(Ledger!$H:$H,F407))</f>
        <v/>
      </c>
      <c r="H407" s="9">
        <f>IF(F407="","",IF(COUNTIF($F:$F,F407)&gt;1,"REVIEW - same amount appears twice",IF(G407=0,"UNMATCHED - no ledger entry",IF(G407&gt;1,"REVIEW - matches several ledger entries","Matched"))))</f>
        <v/>
      </c>
    </row>
    <row r="408">
      <c r="A408" s="8" t="n"/>
      <c r="B408" s="9" t="n"/>
      <c r="C408" s="10" t="n"/>
      <c r="D408" s="10" t="n"/>
      <c r="E408" s="10">
        <f>N(C408)-N(D408)</f>
        <v/>
      </c>
      <c r="F408" s="9">
        <f>IF(E408=0,"",TEXT(ABS(E408),"0.00")&amp;"|"&amp;IF(E408&gt;0,"AR","AP"))</f>
        <v/>
      </c>
      <c r="G408" s="9">
        <f>IF(F408="","",COUNTIF(Ledger!$H:$H,F408))</f>
        <v/>
      </c>
      <c r="H408" s="9">
        <f>IF(F408="","",IF(COUNTIF($F:$F,F408)&gt;1,"REVIEW - same amount appears twice",IF(G408=0,"UNMATCHED - no ledger entry",IF(G408&gt;1,"REVIEW - matches several ledger entries","Matched"))))</f>
        <v/>
      </c>
    </row>
    <row r="409">
      <c r="A409" s="8" t="n"/>
      <c r="B409" s="9" t="n"/>
      <c r="C409" s="10" t="n"/>
      <c r="D409" s="10" t="n"/>
      <c r="E409" s="10">
        <f>N(C409)-N(D409)</f>
        <v/>
      </c>
      <c r="F409" s="9">
        <f>IF(E409=0,"",TEXT(ABS(E409),"0.00")&amp;"|"&amp;IF(E409&gt;0,"AR","AP"))</f>
        <v/>
      </c>
      <c r="G409" s="9">
        <f>IF(F409="","",COUNTIF(Ledger!$H:$H,F409))</f>
        <v/>
      </c>
      <c r="H409" s="9">
        <f>IF(F409="","",IF(COUNTIF($F:$F,F409)&gt;1,"REVIEW - same amount appears twice",IF(G409=0,"UNMATCHED - no ledger entry",IF(G409&gt;1,"REVIEW - matches several ledger entries","Matched"))))</f>
        <v/>
      </c>
    </row>
    <row r="410">
      <c r="A410" s="8" t="n"/>
      <c r="B410" s="9" t="n"/>
      <c r="C410" s="10" t="n"/>
      <c r="D410" s="10" t="n"/>
      <c r="E410" s="10">
        <f>N(C410)-N(D410)</f>
        <v/>
      </c>
      <c r="F410" s="9">
        <f>IF(E410=0,"",TEXT(ABS(E410),"0.00")&amp;"|"&amp;IF(E410&gt;0,"AR","AP"))</f>
        <v/>
      </c>
      <c r="G410" s="9">
        <f>IF(F410="","",COUNTIF(Ledger!$H:$H,F410))</f>
        <v/>
      </c>
      <c r="H410" s="9">
        <f>IF(F410="","",IF(COUNTIF($F:$F,F410)&gt;1,"REVIEW - same amount appears twice",IF(G410=0,"UNMATCHED - no ledger entry",IF(G410&gt;1,"REVIEW - matches several ledger entries","Matched"))))</f>
        <v/>
      </c>
    </row>
    <row r="411">
      <c r="A411" s="8" t="n"/>
      <c r="B411" s="9" t="n"/>
      <c r="C411" s="10" t="n"/>
      <c r="D411" s="10" t="n"/>
      <c r="E411" s="10">
        <f>N(C411)-N(D411)</f>
        <v/>
      </c>
      <c r="F411" s="9">
        <f>IF(E411=0,"",TEXT(ABS(E411),"0.00")&amp;"|"&amp;IF(E411&gt;0,"AR","AP"))</f>
        <v/>
      </c>
      <c r="G411" s="9">
        <f>IF(F411="","",COUNTIF(Ledger!$H:$H,F411))</f>
        <v/>
      </c>
      <c r="H411" s="9">
        <f>IF(F411="","",IF(COUNTIF($F:$F,F411)&gt;1,"REVIEW - same amount appears twice",IF(G411=0,"UNMATCHED - no ledger entry",IF(G411&gt;1,"REVIEW - matches several ledger entries","Matched"))))</f>
        <v/>
      </c>
    </row>
    <row r="412">
      <c r="A412" s="8" t="n"/>
      <c r="B412" s="9" t="n"/>
      <c r="C412" s="10" t="n"/>
      <c r="D412" s="10" t="n"/>
      <c r="E412" s="10">
        <f>N(C412)-N(D412)</f>
        <v/>
      </c>
      <c r="F412" s="9">
        <f>IF(E412=0,"",TEXT(ABS(E412),"0.00")&amp;"|"&amp;IF(E412&gt;0,"AR","AP"))</f>
        <v/>
      </c>
      <c r="G412" s="9">
        <f>IF(F412="","",COUNTIF(Ledger!$H:$H,F412))</f>
        <v/>
      </c>
      <c r="H412" s="9">
        <f>IF(F412="","",IF(COUNTIF($F:$F,F412)&gt;1,"REVIEW - same amount appears twice",IF(G412=0,"UNMATCHED - no ledger entry",IF(G412&gt;1,"REVIEW - matches several ledger entries","Matched"))))</f>
        <v/>
      </c>
    </row>
    <row r="413">
      <c r="A413" s="8" t="n"/>
      <c r="B413" s="9" t="n"/>
      <c r="C413" s="10" t="n"/>
      <c r="D413" s="10" t="n"/>
      <c r="E413" s="10">
        <f>N(C413)-N(D413)</f>
        <v/>
      </c>
      <c r="F413" s="9">
        <f>IF(E413=0,"",TEXT(ABS(E413),"0.00")&amp;"|"&amp;IF(E413&gt;0,"AR","AP"))</f>
        <v/>
      </c>
      <c r="G413" s="9">
        <f>IF(F413="","",COUNTIF(Ledger!$H:$H,F413))</f>
        <v/>
      </c>
      <c r="H413" s="9">
        <f>IF(F413="","",IF(COUNTIF($F:$F,F413)&gt;1,"REVIEW - same amount appears twice",IF(G413=0,"UNMATCHED - no ledger entry",IF(G413&gt;1,"REVIEW - matches several ledger entries","Matched"))))</f>
        <v/>
      </c>
    </row>
    <row r="414">
      <c r="A414" s="8" t="n"/>
      <c r="B414" s="9" t="n"/>
      <c r="C414" s="10" t="n"/>
      <c r="D414" s="10" t="n"/>
      <c r="E414" s="10">
        <f>N(C414)-N(D414)</f>
        <v/>
      </c>
      <c r="F414" s="9">
        <f>IF(E414=0,"",TEXT(ABS(E414),"0.00")&amp;"|"&amp;IF(E414&gt;0,"AR","AP"))</f>
        <v/>
      </c>
      <c r="G414" s="9">
        <f>IF(F414="","",COUNTIF(Ledger!$H:$H,F414))</f>
        <v/>
      </c>
      <c r="H414" s="9">
        <f>IF(F414="","",IF(COUNTIF($F:$F,F414)&gt;1,"REVIEW - same amount appears twice",IF(G414=0,"UNMATCHED - no ledger entry",IF(G414&gt;1,"REVIEW - matches several ledger entries","Matched"))))</f>
        <v/>
      </c>
    </row>
    <row r="415">
      <c r="A415" s="8" t="n"/>
      <c r="B415" s="9" t="n"/>
      <c r="C415" s="10" t="n"/>
      <c r="D415" s="10" t="n"/>
      <c r="E415" s="10">
        <f>N(C415)-N(D415)</f>
        <v/>
      </c>
      <c r="F415" s="9">
        <f>IF(E415=0,"",TEXT(ABS(E415),"0.00")&amp;"|"&amp;IF(E415&gt;0,"AR","AP"))</f>
        <v/>
      </c>
      <c r="G415" s="9">
        <f>IF(F415="","",COUNTIF(Ledger!$H:$H,F415))</f>
        <v/>
      </c>
      <c r="H415" s="9">
        <f>IF(F415="","",IF(COUNTIF($F:$F,F415)&gt;1,"REVIEW - same amount appears twice",IF(G415=0,"UNMATCHED - no ledger entry",IF(G415&gt;1,"REVIEW - matches several ledger entries","Matched"))))</f>
        <v/>
      </c>
    </row>
    <row r="416">
      <c r="A416" s="8" t="n"/>
      <c r="B416" s="9" t="n"/>
      <c r="C416" s="10" t="n"/>
      <c r="D416" s="10" t="n"/>
      <c r="E416" s="10">
        <f>N(C416)-N(D416)</f>
        <v/>
      </c>
      <c r="F416" s="9">
        <f>IF(E416=0,"",TEXT(ABS(E416),"0.00")&amp;"|"&amp;IF(E416&gt;0,"AR","AP"))</f>
        <v/>
      </c>
      <c r="G416" s="9">
        <f>IF(F416="","",COUNTIF(Ledger!$H:$H,F416))</f>
        <v/>
      </c>
      <c r="H416" s="9">
        <f>IF(F416="","",IF(COUNTIF($F:$F,F416)&gt;1,"REVIEW - same amount appears twice",IF(G416=0,"UNMATCHED - no ledger entry",IF(G416&gt;1,"REVIEW - matches several ledger entries","Matched"))))</f>
        <v/>
      </c>
    </row>
    <row r="417">
      <c r="A417" s="8" t="n"/>
      <c r="B417" s="9" t="n"/>
      <c r="C417" s="10" t="n"/>
      <c r="D417" s="10" t="n"/>
      <c r="E417" s="10">
        <f>N(C417)-N(D417)</f>
        <v/>
      </c>
      <c r="F417" s="9">
        <f>IF(E417=0,"",TEXT(ABS(E417),"0.00")&amp;"|"&amp;IF(E417&gt;0,"AR","AP"))</f>
        <v/>
      </c>
      <c r="G417" s="9">
        <f>IF(F417="","",COUNTIF(Ledger!$H:$H,F417))</f>
        <v/>
      </c>
      <c r="H417" s="9">
        <f>IF(F417="","",IF(COUNTIF($F:$F,F417)&gt;1,"REVIEW - same amount appears twice",IF(G417=0,"UNMATCHED - no ledger entry",IF(G417&gt;1,"REVIEW - matches several ledger entries","Matched"))))</f>
        <v/>
      </c>
    </row>
    <row r="418">
      <c r="A418" s="8" t="n"/>
      <c r="B418" s="9" t="n"/>
      <c r="C418" s="10" t="n"/>
      <c r="D418" s="10" t="n"/>
      <c r="E418" s="10">
        <f>N(C418)-N(D418)</f>
        <v/>
      </c>
      <c r="F418" s="9">
        <f>IF(E418=0,"",TEXT(ABS(E418),"0.00")&amp;"|"&amp;IF(E418&gt;0,"AR","AP"))</f>
        <v/>
      </c>
      <c r="G418" s="9">
        <f>IF(F418="","",COUNTIF(Ledger!$H:$H,F418))</f>
        <v/>
      </c>
      <c r="H418" s="9">
        <f>IF(F418="","",IF(COUNTIF($F:$F,F418)&gt;1,"REVIEW - same amount appears twice",IF(G418=0,"UNMATCHED - no ledger entry",IF(G418&gt;1,"REVIEW - matches several ledger entries","Matched"))))</f>
        <v/>
      </c>
    </row>
    <row r="419">
      <c r="A419" s="8" t="n"/>
      <c r="B419" s="9" t="n"/>
      <c r="C419" s="10" t="n"/>
      <c r="D419" s="10" t="n"/>
      <c r="E419" s="10">
        <f>N(C419)-N(D419)</f>
        <v/>
      </c>
      <c r="F419" s="9">
        <f>IF(E419=0,"",TEXT(ABS(E419),"0.00")&amp;"|"&amp;IF(E419&gt;0,"AR","AP"))</f>
        <v/>
      </c>
      <c r="G419" s="9">
        <f>IF(F419="","",COUNTIF(Ledger!$H:$H,F419))</f>
        <v/>
      </c>
      <c r="H419" s="9">
        <f>IF(F419="","",IF(COUNTIF($F:$F,F419)&gt;1,"REVIEW - same amount appears twice",IF(G419=0,"UNMATCHED - no ledger entry",IF(G419&gt;1,"REVIEW - matches several ledger entries","Matched"))))</f>
        <v/>
      </c>
    </row>
    <row r="420">
      <c r="A420" s="8" t="n"/>
      <c r="B420" s="9" t="n"/>
      <c r="C420" s="10" t="n"/>
      <c r="D420" s="10" t="n"/>
      <c r="E420" s="10">
        <f>N(C420)-N(D420)</f>
        <v/>
      </c>
      <c r="F420" s="9">
        <f>IF(E420=0,"",TEXT(ABS(E420),"0.00")&amp;"|"&amp;IF(E420&gt;0,"AR","AP"))</f>
        <v/>
      </c>
      <c r="G420" s="9">
        <f>IF(F420="","",COUNTIF(Ledger!$H:$H,F420))</f>
        <v/>
      </c>
      <c r="H420" s="9">
        <f>IF(F420="","",IF(COUNTIF($F:$F,F420)&gt;1,"REVIEW - same amount appears twice",IF(G420=0,"UNMATCHED - no ledger entry",IF(G420&gt;1,"REVIEW - matches several ledger entries","Matched"))))</f>
        <v/>
      </c>
    </row>
    <row r="421">
      <c r="A421" s="8" t="n"/>
      <c r="B421" s="9" t="n"/>
      <c r="C421" s="10" t="n"/>
      <c r="D421" s="10" t="n"/>
      <c r="E421" s="10">
        <f>N(C421)-N(D421)</f>
        <v/>
      </c>
      <c r="F421" s="9">
        <f>IF(E421=0,"",TEXT(ABS(E421),"0.00")&amp;"|"&amp;IF(E421&gt;0,"AR","AP"))</f>
        <v/>
      </c>
      <c r="G421" s="9">
        <f>IF(F421="","",COUNTIF(Ledger!$H:$H,F421))</f>
        <v/>
      </c>
      <c r="H421" s="9">
        <f>IF(F421="","",IF(COUNTIF($F:$F,F421)&gt;1,"REVIEW - same amount appears twice",IF(G421=0,"UNMATCHED - no ledger entry",IF(G421&gt;1,"REVIEW - matches several ledger entries","Matched"))))</f>
        <v/>
      </c>
    </row>
    <row r="422">
      <c r="A422" s="8" t="n"/>
      <c r="B422" s="9" t="n"/>
      <c r="C422" s="10" t="n"/>
      <c r="D422" s="10" t="n"/>
      <c r="E422" s="10">
        <f>N(C422)-N(D422)</f>
        <v/>
      </c>
      <c r="F422" s="9">
        <f>IF(E422=0,"",TEXT(ABS(E422),"0.00")&amp;"|"&amp;IF(E422&gt;0,"AR","AP"))</f>
        <v/>
      </c>
      <c r="G422" s="9">
        <f>IF(F422="","",COUNTIF(Ledger!$H:$H,F422))</f>
        <v/>
      </c>
      <c r="H422" s="9">
        <f>IF(F422="","",IF(COUNTIF($F:$F,F422)&gt;1,"REVIEW - same amount appears twice",IF(G422=0,"UNMATCHED - no ledger entry",IF(G422&gt;1,"REVIEW - matches several ledger entries","Matched"))))</f>
        <v/>
      </c>
    </row>
    <row r="423">
      <c r="A423" s="8" t="n"/>
      <c r="B423" s="9" t="n"/>
      <c r="C423" s="10" t="n"/>
      <c r="D423" s="10" t="n"/>
      <c r="E423" s="10">
        <f>N(C423)-N(D423)</f>
        <v/>
      </c>
      <c r="F423" s="9">
        <f>IF(E423=0,"",TEXT(ABS(E423),"0.00")&amp;"|"&amp;IF(E423&gt;0,"AR","AP"))</f>
        <v/>
      </c>
      <c r="G423" s="9">
        <f>IF(F423="","",COUNTIF(Ledger!$H:$H,F423))</f>
        <v/>
      </c>
      <c r="H423" s="9">
        <f>IF(F423="","",IF(COUNTIF($F:$F,F423)&gt;1,"REVIEW - same amount appears twice",IF(G423=0,"UNMATCHED - no ledger entry",IF(G423&gt;1,"REVIEW - matches several ledger entries","Matched"))))</f>
        <v/>
      </c>
    </row>
    <row r="424">
      <c r="A424" s="8" t="n"/>
      <c r="B424" s="9" t="n"/>
      <c r="C424" s="10" t="n"/>
      <c r="D424" s="10" t="n"/>
      <c r="E424" s="10">
        <f>N(C424)-N(D424)</f>
        <v/>
      </c>
      <c r="F424" s="9">
        <f>IF(E424=0,"",TEXT(ABS(E424),"0.00")&amp;"|"&amp;IF(E424&gt;0,"AR","AP"))</f>
        <v/>
      </c>
      <c r="G424" s="9">
        <f>IF(F424="","",COUNTIF(Ledger!$H:$H,F424))</f>
        <v/>
      </c>
      <c r="H424" s="9">
        <f>IF(F424="","",IF(COUNTIF($F:$F,F424)&gt;1,"REVIEW - same amount appears twice",IF(G424=0,"UNMATCHED - no ledger entry",IF(G424&gt;1,"REVIEW - matches several ledger entries","Matched"))))</f>
        <v/>
      </c>
    </row>
    <row r="425">
      <c r="A425" s="8" t="n"/>
      <c r="B425" s="9" t="n"/>
      <c r="C425" s="10" t="n"/>
      <c r="D425" s="10" t="n"/>
      <c r="E425" s="10">
        <f>N(C425)-N(D425)</f>
        <v/>
      </c>
      <c r="F425" s="9">
        <f>IF(E425=0,"",TEXT(ABS(E425),"0.00")&amp;"|"&amp;IF(E425&gt;0,"AR","AP"))</f>
        <v/>
      </c>
      <c r="G425" s="9">
        <f>IF(F425="","",COUNTIF(Ledger!$H:$H,F425))</f>
        <v/>
      </c>
      <c r="H425" s="9">
        <f>IF(F425="","",IF(COUNTIF($F:$F,F425)&gt;1,"REVIEW - same amount appears twice",IF(G425=0,"UNMATCHED - no ledger entry",IF(G425&gt;1,"REVIEW - matches several ledger entries","Matched"))))</f>
        <v/>
      </c>
    </row>
    <row r="426">
      <c r="A426" s="8" t="n"/>
      <c r="B426" s="9" t="n"/>
      <c r="C426" s="10" t="n"/>
      <c r="D426" s="10" t="n"/>
      <c r="E426" s="10">
        <f>N(C426)-N(D426)</f>
        <v/>
      </c>
      <c r="F426" s="9">
        <f>IF(E426=0,"",TEXT(ABS(E426),"0.00")&amp;"|"&amp;IF(E426&gt;0,"AR","AP"))</f>
        <v/>
      </c>
      <c r="G426" s="9">
        <f>IF(F426="","",COUNTIF(Ledger!$H:$H,F426))</f>
        <v/>
      </c>
      <c r="H426" s="9">
        <f>IF(F426="","",IF(COUNTIF($F:$F,F426)&gt;1,"REVIEW - same amount appears twice",IF(G426=0,"UNMATCHED - no ledger entry",IF(G426&gt;1,"REVIEW - matches several ledger entries","Matched"))))</f>
        <v/>
      </c>
    </row>
    <row r="427">
      <c r="A427" s="8" t="n"/>
      <c r="B427" s="9" t="n"/>
      <c r="C427" s="10" t="n"/>
      <c r="D427" s="10" t="n"/>
      <c r="E427" s="10">
        <f>N(C427)-N(D427)</f>
        <v/>
      </c>
      <c r="F427" s="9">
        <f>IF(E427=0,"",TEXT(ABS(E427),"0.00")&amp;"|"&amp;IF(E427&gt;0,"AR","AP"))</f>
        <v/>
      </c>
      <c r="G427" s="9">
        <f>IF(F427="","",COUNTIF(Ledger!$H:$H,F427))</f>
        <v/>
      </c>
      <c r="H427" s="9">
        <f>IF(F427="","",IF(COUNTIF($F:$F,F427)&gt;1,"REVIEW - same amount appears twice",IF(G427=0,"UNMATCHED - no ledger entry",IF(G427&gt;1,"REVIEW - matches several ledger entries","Matched"))))</f>
        <v/>
      </c>
    </row>
    <row r="428">
      <c r="A428" s="8" t="n"/>
      <c r="B428" s="9" t="n"/>
      <c r="C428" s="10" t="n"/>
      <c r="D428" s="10" t="n"/>
      <c r="E428" s="10">
        <f>N(C428)-N(D428)</f>
        <v/>
      </c>
      <c r="F428" s="9">
        <f>IF(E428=0,"",TEXT(ABS(E428),"0.00")&amp;"|"&amp;IF(E428&gt;0,"AR","AP"))</f>
        <v/>
      </c>
      <c r="G428" s="9">
        <f>IF(F428="","",COUNTIF(Ledger!$H:$H,F428))</f>
        <v/>
      </c>
      <c r="H428" s="9">
        <f>IF(F428="","",IF(COUNTIF($F:$F,F428)&gt;1,"REVIEW - same amount appears twice",IF(G428=0,"UNMATCHED - no ledger entry",IF(G428&gt;1,"REVIEW - matches several ledger entries","Matched"))))</f>
        <v/>
      </c>
    </row>
    <row r="429">
      <c r="A429" s="8" t="n"/>
      <c r="B429" s="9" t="n"/>
      <c r="C429" s="10" t="n"/>
      <c r="D429" s="10" t="n"/>
      <c r="E429" s="10">
        <f>N(C429)-N(D429)</f>
        <v/>
      </c>
      <c r="F429" s="9">
        <f>IF(E429=0,"",TEXT(ABS(E429),"0.00")&amp;"|"&amp;IF(E429&gt;0,"AR","AP"))</f>
        <v/>
      </c>
      <c r="G429" s="9">
        <f>IF(F429="","",COUNTIF(Ledger!$H:$H,F429))</f>
        <v/>
      </c>
      <c r="H429" s="9">
        <f>IF(F429="","",IF(COUNTIF($F:$F,F429)&gt;1,"REVIEW - same amount appears twice",IF(G429=0,"UNMATCHED - no ledger entry",IF(G429&gt;1,"REVIEW - matches several ledger entries","Matched"))))</f>
        <v/>
      </c>
    </row>
    <row r="430">
      <c r="A430" s="8" t="n"/>
      <c r="B430" s="9" t="n"/>
      <c r="C430" s="10" t="n"/>
      <c r="D430" s="10" t="n"/>
      <c r="E430" s="10">
        <f>N(C430)-N(D430)</f>
        <v/>
      </c>
      <c r="F430" s="9">
        <f>IF(E430=0,"",TEXT(ABS(E430),"0.00")&amp;"|"&amp;IF(E430&gt;0,"AR","AP"))</f>
        <v/>
      </c>
      <c r="G430" s="9">
        <f>IF(F430="","",COUNTIF(Ledger!$H:$H,F430))</f>
        <v/>
      </c>
      <c r="H430" s="9">
        <f>IF(F430="","",IF(COUNTIF($F:$F,F430)&gt;1,"REVIEW - same amount appears twice",IF(G430=0,"UNMATCHED - no ledger entry",IF(G430&gt;1,"REVIEW - matches several ledger entries","Matched"))))</f>
        <v/>
      </c>
    </row>
    <row r="431">
      <c r="A431" s="8" t="n"/>
      <c r="B431" s="9" t="n"/>
      <c r="C431" s="10" t="n"/>
      <c r="D431" s="10" t="n"/>
      <c r="E431" s="10">
        <f>N(C431)-N(D431)</f>
        <v/>
      </c>
      <c r="F431" s="9">
        <f>IF(E431=0,"",TEXT(ABS(E431),"0.00")&amp;"|"&amp;IF(E431&gt;0,"AR","AP"))</f>
        <v/>
      </c>
      <c r="G431" s="9">
        <f>IF(F431="","",COUNTIF(Ledger!$H:$H,F431))</f>
        <v/>
      </c>
      <c r="H431" s="9">
        <f>IF(F431="","",IF(COUNTIF($F:$F,F431)&gt;1,"REVIEW - same amount appears twice",IF(G431=0,"UNMATCHED - no ledger entry",IF(G431&gt;1,"REVIEW - matches several ledger entries","Matched"))))</f>
        <v/>
      </c>
    </row>
    <row r="432">
      <c r="A432" s="8" t="n"/>
      <c r="B432" s="9" t="n"/>
      <c r="C432" s="10" t="n"/>
      <c r="D432" s="10" t="n"/>
      <c r="E432" s="10">
        <f>N(C432)-N(D432)</f>
        <v/>
      </c>
      <c r="F432" s="9">
        <f>IF(E432=0,"",TEXT(ABS(E432),"0.00")&amp;"|"&amp;IF(E432&gt;0,"AR","AP"))</f>
        <v/>
      </c>
      <c r="G432" s="9">
        <f>IF(F432="","",COUNTIF(Ledger!$H:$H,F432))</f>
        <v/>
      </c>
      <c r="H432" s="9">
        <f>IF(F432="","",IF(COUNTIF($F:$F,F432)&gt;1,"REVIEW - same amount appears twice",IF(G432=0,"UNMATCHED - no ledger entry",IF(G432&gt;1,"REVIEW - matches several ledger entries","Matched"))))</f>
        <v/>
      </c>
    </row>
    <row r="433">
      <c r="A433" s="8" t="n"/>
      <c r="B433" s="9" t="n"/>
      <c r="C433" s="10" t="n"/>
      <c r="D433" s="10" t="n"/>
      <c r="E433" s="10">
        <f>N(C433)-N(D433)</f>
        <v/>
      </c>
      <c r="F433" s="9">
        <f>IF(E433=0,"",TEXT(ABS(E433),"0.00")&amp;"|"&amp;IF(E433&gt;0,"AR","AP"))</f>
        <v/>
      </c>
      <c r="G433" s="9">
        <f>IF(F433="","",COUNTIF(Ledger!$H:$H,F433))</f>
        <v/>
      </c>
      <c r="H433" s="9">
        <f>IF(F433="","",IF(COUNTIF($F:$F,F433)&gt;1,"REVIEW - same amount appears twice",IF(G433=0,"UNMATCHED - no ledger entry",IF(G433&gt;1,"REVIEW - matches several ledger entries","Matched"))))</f>
        <v/>
      </c>
    </row>
    <row r="434">
      <c r="A434" s="8" t="n"/>
      <c r="B434" s="9" t="n"/>
      <c r="C434" s="10" t="n"/>
      <c r="D434" s="10" t="n"/>
      <c r="E434" s="10">
        <f>N(C434)-N(D434)</f>
        <v/>
      </c>
      <c r="F434" s="9">
        <f>IF(E434=0,"",TEXT(ABS(E434),"0.00")&amp;"|"&amp;IF(E434&gt;0,"AR","AP"))</f>
        <v/>
      </c>
      <c r="G434" s="9">
        <f>IF(F434="","",COUNTIF(Ledger!$H:$H,F434))</f>
        <v/>
      </c>
      <c r="H434" s="9">
        <f>IF(F434="","",IF(COUNTIF($F:$F,F434)&gt;1,"REVIEW - same amount appears twice",IF(G434=0,"UNMATCHED - no ledger entry",IF(G434&gt;1,"REVIEW - matches several ledger entries","Matched"))))</f>
        <v/>
      </c>
    </row>
    <row r="435">
      <c r="A435" s="8" t="n"/>
      <c r="B435" s="9" t="n"/>
      <c r="C435" s="10" t="n"/>
      <c r="D435" s="10" t="n"/>
      <c r="E435" s="10">
        <f>N(C435)-N(D435)</f>
        <v/>
      </c>
      <c r="F435" s="9">
        <f>IF(E435=0,"",TEXT(ABS(E435),"0.00")&amp;"|"&amp;IF(E435&gt;0,"AR","AP"))</f>
        <v/>
      </c>
      <c r="G435" s="9">
        <f>IF(F435="","",COUNTIF(Ledger!$H:$H,F435))</f>
        <v/>
      </c>
      <c r="H435" s="9">
        <f>IF(F435="","",IF(COUNTIF($F:$F,F435)&gt;1,"REVIEW - same amount appears twice",IF(G435=0,"UNMATCHED - no ledger entry",IF(G435&gt;1,"REVIEW - matches several ledger entries","Matched"))))</f>
        <v/>
      </c>
    </row>
    <row r="436">
      <c r="A436" s="8" t="n"/>
      <c r="B436" s="9" t="n"/>
      <c r="C436" s="10" t="n"/>
      <c r="D436" s="10" t="n"/>
      <c r="E436" s="10">
        <f>N(C436)-N(D436)</f>
        <v/>
      </c>
      <c r="F436" s="9">
        <f>IF(E436=0,"",TEXT(ABS(E436),"0.00")&amp;"|"&amp;IF(E436&gt;0,"AR","AP"))</f>
        <v/>
      </c>
      <c r="G436" s="9">
        <f>IF(F436="","",COUNTIF(Ledger!$H:$H,F436))</f>
        <v/>
      </c>
      <c r="H436" s="9">
        <f>IF(F436="","",IF(COUNTIF($F:$F,F436)&gt;1,"REVIEW - same amount appears twice",IF(G436=0,"UNMATCHED - no ledger entry",IF(G436&gt;1,"REVIEW - matches several ledger entries","Matched"))))</f>
        <v/>
      </c>
    </row>
    <row r="437">
      <c r="A437" s="8" t="n"/>
      <c r="B437" s="9" t="n"/>
      <c r="C437" s="10" t="n"/>
      <c r="D437" s="10" t="n"/>
      <c r="E437" s="10">
        <f>N(C437)-N(D437)</f>
        <v/>
      </c>
      <c r="F437" s="9">
        <f>IF(E437=0,"",TEXT(ABS(E437),"0.00")&amp;"|"&amp;IF(E437&gt;0,"AR","AP"))</f>
        <v/>
      </c>
      <c r="G437" s="9">
        <f>IF(F437="","",COUNTIF(Ledger!$H:$H,F437))</f>
        <v/>
      </c>
      <c r="H437" s="9">
        <f>IF(F437="","",IF(COUNTIF($F:$F,F437)&gt;1,"REVIEW - same amount appears twice",IF(G437=0,"UNMATCHED - no ledger entry",IF(G437&gt;1,"REVIEW - matches several ledger entries","Matched"))))</f>
        <v/>
      </c>
    </row>
    <row r="438">
      <c r="A438" s="8" t="n"/>
      <c r="B438" s="9" t="n"/>
      <c r="C438" s="10" t="n"/>
      <c r="D438" s="10" t="n"/>
      <c r="E438" s="10">
        <f>N(C438)-N(D438)</f>
        <v/>
      </c>
      <c r="F438" s="9">
        <f>IF(E438=0,"",TEXT(ABS(E438),"0.00")&amp;"|"&amp;IF(E438&gt;0,"AR","AP"))</f>
        <v/>
      </c>
      <c r="G438" s="9">
        <f>IF(F438="","",COUNTIF(Ledger!$H:$H,F438))</f>
        <v/>
      </c>
      <c r="H438" s="9">
        <f>IF(F438="","",IF(COUNTIF($F:$F,F438)&gt;1,"REVIEW - same amount appears twice",IF(G438=0,"UNMATCHED - no ledger entry",IF(G438&gt;1,"REVIEW - matches several ledger entries","Matched"))))</f>
        <v/>
      </c>
    </row>
    <row r="439">
      <c r="A439" s="8" t="n"/>
      <c r="B439" s="9" t="n"/>
      <c r="C439" s="10" t="n"/>
      <c r="D439" s="10" t="n"/>
      <c r="E439" s="10">
        <f>N(C439)-N(D439)</f>
        <v/>
      </c>
      <c r="F439" s="9">
        <f>IF(E439=0,"",TEXT(ABS(E439),"0.00")&amp;"|"&amp;IF(E439&gt;0,"AR","AP"))</f>
        <v/>
      </c>
      <c r="G439" s="9">
        <f>IF(F439="","",COUNTIF(Ledger!$H:$H,F439))</f>
        <v/>
      </c>
      <c r="H439" s="9">
        <f>IF(F439="","",IF(COUNTIF($F:$F,F439)&gt;1,"REVIEW - same amount appears twice",IF(G439=0,"UNMATCHED - no ledger entry",IF(G439&gt;1,"REVIEW - matches several ledger entries","Matched"))))</f>
        <v/>
      </c>
    </row>
    <row r="440">
      <c r="A440" s="8" t="n"/>
      <c r="B440" s="9" t="n"/>
      <c r="C440" s="10" t="n"/>
      <c r="D440" s="10" t="n"/>
      <c r="E440" s="10">
        <f>N(C440)-N(D440)</f>
        <v/>
      </c>
      <c r="F440" s="9">
        <f>IF(E440=0,"",TEXT(ABS(E440),"0.00")&amp;"|"&amp;IF(E440&gt;0,"AR","AP"))</f>
        <v/>
      </c>
      <c r="G440" s="9">
        <f>IF(F440="","",COUNTIF(Ledger!$H:$H,F440))</f>
        <v/>
      </c>
      <c r="H440" s="9">
        <f>IF(F440="","",IF(COUNTIF($F:$F,F440)&gt;1,"REVIEW - same amount appears twice",IF(G440=0,"UNMATCHED - no ledger entry",IF(G440&gt;1,"REVIEW - matches several ledger entries","Matched"))))</f>
        <v/>
      </c>
    </row>
    <row r="441">
      <c r="A441" s="8" t="n"/>
      <c r="B441" s="9" t="n"/>
      <c r="C441" s="10" t="n"/>
      <c r="D441" s="10" t="n"/>
      <c r="E441" s="10">
        <f>N(C441)-N(D441)</f>
        <v/>
      </c>
      <c r="F441" s="9">
        <f>IF(E441=0,"",TEXT(ABS(E441),"0.00")&amp;"|"&amp;IF(E441&gt;0,"AR","AP"))</f>
        <v/>
      </c>
      <c r="G441" s="9">
        <f>IF(F441="","",COUNTIF(Ledger!$H:$H,F441))</f>
        <v/>
      </c>
      <c r="H441" s="9">
        <f>IF(F441="","",IF(COUNTIF($F:$F,F441)&gt;1,"REVIEW - same amount appears twice",IF(G441=0,"UNMATCHED - no ledger entry",IF(G441&gt;1,"REVIEW - matches several ledger entries","Matched"))))</f>
        <v/>
      </c>
    </row>
    <row r="442">
      <c r="A442" s="8" t="n"/>
      <c r="B442" s="9" t="n"/>
      <c r="C442" s="10" t="n"/>
      <c r="D442" s="10" t="n"/>
      <c r="E442" s="10">
        <f>N(C442)-N(D442)</f>
        <v/>
      </c>
      <c r="F442" s="9">
        <f>IF(E442=0,"",TEXT(ABS(E442),"0.00")&amp;"|"&amp;IF(E442&gt;0,"AR","AP"))</f>
        <v/>
      </c>
      <c r="G442" s="9">
        <f>IF(F442="","",COUNTIF(Ledger!$H:$H,F442))</f>
        <v/>
      </c>
      <c r="H442" s="9">
        <f>IF(F442="","",IF(COUNTIF($F:$F,F442)&gt;1,"REVIEW - same amount appears twice",IF(G442=0,"UNMATCHED - no ledger entry",IF(G442&gt;1,"REVIEW - matches several ledger entries","Matched"))))</f>
        <v/>
      </c>
    </row>
    <row r="443">
      <c r="A443" s="8" t="n"/>
      <c r="B443" s="9" t="n"/>
      <c r="C443" s="10" t="n"/>
      <c r="D443" s="10" t="n"/>
      <c r="E443" s="10">
        <f>N(C443)-N(D443)</f>
        <v/>
      </c>
      <c r="F443" s="9">
        <f>IF(E443=0,"",TEXT(ABS(E443),"0.00")&amp;"|"&amp;IF(E443&gt;0,"AR","AP"))</f>
        <v/>
      </c>
      <c r="G443" s="9">
        <f>IF(F443="","",COUNTIF(Ledger!$H:$H,F443))</f>
        <v/>
      </c>
      <c r="H443" s="9">
        <f>IF(F443="","",IF(COUNTIF($F:$F,F443)&gt;1,"REVIEW - same amount appears twice",IF(G443=0,"UNMATCHED - no ledger entry",IF(G443&gt;1,"REVIEW - matches several ledger entries","Matched"))))</f>
        <v/>
      </c>
    </row>
    <row r="444">
      <c r="A444" s="8" t="n"/>
      <c r="B444" s="9" t="n"/>
      <c r="C444" s="10" t="n"/>
      <c r="D444" s="10" t="n"/>
      <c r="E444" s="10">
        <f>N(C444)-N(D444)</f>
        <v/>
      </c>
      <c r="F444" s="9">
        <f>IF(E444=0,"",TEXT(ABS(E444),"0.00")&amp;"|"&amp;IF(E444&gt;0,"AR","AP"))</f>
        <v/>
      </c>
      <c r="G444" s="9">
        <f>IF(F444="","",COUNTIF(Ledger!$H:$H,F444))</f>
        <v/>
      </c>
      <c r="H444" s="9">
        <f>IF(F444="","",IF(COUNTIF($F:$F,F444)&gt;1,"REVIEW - same amount appears twice",IF(G444=0,"UNMATCHED - no ledger entry",IF(G444&gt;1,"REVIEW - matches several ledger entries","Matched"))))</f>
        <v/>
      </c>
    </row>
    <row r="445">
      <c r="A445" s="8" t="n"/>
      <c r="B445" s="9" t="n"/>
      <c r="C445" s="10" t="n"/>
      <c r="D445" s="10" t="n"/>
      <c r="E445" s="10">
        <f>N(C445)-N(D445)</f>
        <v/>
      </c>
      <c r="F445" s="9">
        <f>IF(E445=0,"",TEXT(ABS(E445),"0.00")&amp;"|"&amp;IF(E445&gt;0,"AR","AP"))</f>
        <v/>
      </c>
      <c r="G445" s="9">
        <f>IF(F445="","",COUNTIF(Ledger!$H:$H,F445))</f>
        <v/>
      </c>
      <c r="H445" s="9">
        <f>IF(F445="","",IF(COUNTIF($F:$F,F445)&gt;1,"REVIEW - same amount appears twice",IF(G445=0,"UNMATCHED - no ledger entry",IF(G445&gt;1,"REVIEW - matches several ledger entries","Matched"))))</f>
        <v/>
      </c>
    </row>
    <row r="446">
      <c r="A446" s="8" t="n"/>
      <c r="B446" s="9" t="n"/>
      <c r="C446" s="10" t="n"/>
      <c r="D446" s="10" t="n"/>
      <c r="E446" s="10">
        <f>N(C446)-N(D446)</f>
        <v/>
      </c>
      <c r="F446" s="9">
        <f>IF(E446=0,"",TEXT(ABS(E446),"0.00")&amp;"|"&amp;IF(E446&gt;0,"AR","AP"))</f>
        <v/>
      </c>
      <c r="G446" s="9">
        <f>IF(F446="","",COUNTIF(Ledger!$H:$H,F446))</f>
        <v/>
      </c>
      <c r="H446" s="9">
        <f>IF(F446="","",IF(COUNTIF($F:$F,F446)&gt;1,"REVIEW - same amount appears twice",IF(G446=0,"UNMATCHED - no ledger entry",IF(G446&gt;1,"REVIEW - matches several ledger entries","Matched"))))</f>
        <v/>
      </c>
    </row>
    <row r="447">
      <c r="A447" s="8" t="n"/>
      <c r="B447" s="9" t="n"/>
      <c r="C447" s="10" t="n"/>
      <c r="D447" s="10" t="n"/>
      <c r="E447" s="10">
        <f>N(C447)-N(D447)</f>
        <v/>
      </c>
      <c r="F447" s="9">
        <f>IF(E447=0,"",TEXT(ABS(E447),"0.00")&amp;"|"&amp;IF(E447&gt;0,"AR","AP"))</f>
        <v/>
      </c>
      <c r="G447" s="9">
        <f>IF(F447="","",COUNTIF(Ledger!$H:$H,F447))</f>
        <v/>
      </c>
      <c r="H447" s="9">
        <f>IF(F447="","",IF(COUNTIF($F:$F,F447)&gt;1,"REVIEW - same amount appears twice",IF(G447=0,"UNMATCHED - no ledger entry",IF(G447&gt;1,"REVIEW - matches several ledger entries","Matched"))))</f>
        <v/>
      </c>
    </row>
    <row r="448">
      <c r="A448" s="8" t="n"/>
      <c r="B448" s="9" t="n"/>
      <c r="C448" s="10" t="n"/>
      <c r="D448" s="10" t="n"/>
      <c r="E448" s="10">
        <f>N(C448)-N(D448)</f>
        <v/>
      </c>
      <c r="F448" s="9">
        <f>IF(E448=0,"",TEXT(ABS(E448),"0.00")&amp;"|"&amp;IF(E448&gt;0,"AR","AP"))</f>
        <v/>
      </c>
      <c r="G448" s="9">
        <f>IF(F448="","",COUNTIF(Ledger!$H:$H,F448))</f>
        <v/>
      </c>
      <c r="H448" s="9">
        <f>IF(F448="","",IF(COUNTIF($F:$F,F448)&gt;1,"REVIEW - same amount appears twice",IF(G448=0,"UNMATCHED - no ledger entry",IF(G448&gt;1,"REVIEW - matches several ledger entries","Matched"))))</f>
        <v/>
      </c>
    </row>
    <row r="449">
      <c r="A449" s="8" t="n"/>
      <c r="B449" s="9" t="n"/>
      <c r="C449" s="10" t="n"/>
      <c r="D449" s="10" t="n"/>
      <c r="E449" s="10">
        <f>N(C449)-N(D449)</f>
        <v/>
      </c>
      <c r="F449" s="9">
        <f>IF(E449=0,"",TEXT(ABS(E449),"0.00")&amp;"|"&amp;IF(E449&gt;0,"AR","AP"))</f>
        <v/>
      </c>
      <c r="G449" s="9">
        <f>IF(F449="","",COUNTIF(Ledger!$H:$H,F449))</f>
        <v/>
      </c>
      <c r="H449" s="9">
        <f>IF(F449="","",IF(COUNTIF($F:$F,F449)&gt;1,"REVIEW - same amount appears twice",IF(G449=0,"UNMATCHED - no ledger entry",IF(G449&gt;1,"REVIEW - matches several ledger entries","Matched"))))</f>
        <v/>
      </c>
    </row>
    <row r="450">
      <c r="A450" s="8" t="n"/>
      <c r="B450" s="9" t="n"/>
      <c r="C450" s="10" t="n"/>
      <c r="D450" s="10" t="n"/>
      <c r="E450" s="10">
        <f>N(C450)-N(D450)</f>
        <v/>
      </c>
      <c r="F450" s="9">
        <f>IF(E450=0,"",TEXT(ABS(E450),"0.00")&amp;"|"&amp;IF(E450&gt;0,"AR","AP"))</f>
        <v/>
      </c>
      <c r="G450" s="9">
        <f>IF(F450="","",COUNTIF(Ledger!$H:$H,F450))</f>
        <v/>
      </c>
      <c r="H450" s="9">
        <f>IF(F450="","",IF(COUNTIF($F:$F,F450)&gt;1,"REVIEW - same amount appears twice",IF(G450=0,"UNMATCHED - no ledger entry",IF(G450&gt;1,"REVIEW - matches several ledger entries","Matched"))))</f>
        <v/>
      </c>
    </row>
    <row r="451">
      <c r="A451" s="8" t="n"/>
      <c r="B451" s="9" t="n"/>
      <c r="C451" s="10" t="n"/>
      <c r="D451" s="10" t="n"/>
      <c r="E451" s="10">
        <f>N(C451)-N(D451)</f>
        <v/>
      </c>
      <c r="F451" s="9">
        <f>IF(E451=0,"",TEXT(ABS(E451),"0.00")&amp;"|"&amp;IF(E451&gt;0,"AR","AP"))</f>
        <v/>
      </c>
      <c r="G451" s="9">
        <f>IF(F451="","",COUNTIF(Ledger!$H:$H,F451))</f>
        <v/>
      </c>
      <c r="H451" s="9">
        <f>IF(F451="","",IF(COUNTIF($F:$F,F451)&gt;1,"REVIEW - same amount appears twice",IF(G451=0,"UNMATCHED - no ledger entry",IF(G451&gt;1,"REVIEW - matches several ledger entries","Matched"))))</f>
        <v/>
      </c>
    </row>
    <row r="452">
      <c r="A452" s="8" t="n"/>
      <c r="B452" s="9" t="n"/>
      <c r="C452" s="10" t="n"/>
      <c r="D452" s="10" t="n"/>
      <c r="E452" s="10">
        <f>N(C452)-N(D452)</f>
        <v/>
      </c>
      <c r="F452" s="9">
        <f>IF(E452=0,"",TEXT(ABS(E452),"0.00")&amp;"|"&amp;IF(E452&gt;0,"AR","AP"))</f>
        <v/>
      </c>
      <c r="G452" s="9">
        <f>IF(F452="","",COUNTIF(Ledger!$H:$H,F452))</f>
        <v/>
      </c>
      <c r="H452" s="9">
        <f>IF(F452="","",IF(COUNTIF($F:$F,F452)&gt;1,"REVIEW - same amount appears twice",IF(G452=0,"UNMATCHED - no ledger entry",IF(G452&gt;1,"REVIEW - matches several ledger entries","Matched"))))</f>
        <v/>
      </c>
    </row>
    <row r="453">
      <c r="A453" s="8" t="n"/>
      <c r="B453" s="9" t="n"/>
      <c r="C453" s="10" t="n"/>
      <c r="D453" s="10" t="n"/>
      <c r="E453" s="10">
        <f>N(C453)-N(D453)</f>
        <v/>
      </c>
      <c r="F453" s="9">
        <f>IF(E453=0,"",TEXT(ABS(E453),"0.00")&amp;"|"&amp;IF(E453&gt;0,"AR","AP"))</f>
        <v/>
      </c>
      <c r="G453" s="9">
        <f>IF(F453="","",COUNTIF(Ledger!$H:$H,F453))</f>
        <v/>
      </c>
      <c r="H453" s="9">
        <f>IF(F453="","",IF(COUNTIF($F:$F,F453)&gt;1,"REVIEW - same amount appears twice",IF(G453=0,"UNMATCHED - no ledger entry",IF(G453&gt;1,"REVIEW - matches several ledger entries","Matched"))))</f>
        <v/>
      </c>
    </row>
    <row r="454">
      <c r="A454" s="8" t="n"/>
      <c r="B454" s="9" t="n"/>
      <c r="C454" s="10" t="n"/>
      <c r="D454" s="10" t="n"/>
      <c r="E454" s="10">
        <f>N(C454)-N(D454)</f>
        <v/>
      </c>
      <c r="F454" s="9">
        <f>IF(E454=0,"",TEXT(ABS(E454),"0.00")&amp;"|"&amp;IF(E454&gt;0,"AR","AP"))</f>
        <v/>
      </c>
      <c r="G454" s="9">
        <f>IF(F454="","",COUNTIF(Ledger!$H:$H,F454))</f>
        <v/>
      </c>
      <c r="H454" s="9">
        <f>IF(F454="","",IF(COUNTIF($F:$F,F454)&gt;1,"REVIEW - same amount appears twice",IF(G454=0,"UNMATCHED - no ledger entry",IF(G454&gt;1,"REVIEW - matches several ledger entries","Matched"))))</f>
        <v/>
      </c>
    </row>
    <row r="455">
      <c r="A455" s="8" t="n"/>
      <c r="B455" s="9" t="n"/>
      <c r="C455" s="10" t="n"/>
      <c r="D455" s="10" t="n"/>
      <c r="E455" s="10">
        <f>N(C455)-N(D455)</f>
        <v/>
      </c>
      <c r="F455" s="9">
        <f>IF(E455=0,"",TEXT(ABS(E455),"0.00")&amp;"|"&amp;IF(E455&gt;0,"AR","AP"))</f>
        <v/>
      </c>
      <c r="G455" s="9">
        <f>IF(F455="","",COUNTIF(Ledger!$H:$H,F455))</f>
        <v/>
      </c>
      <c r="H455" s="9">
        <f>IF(F455="","",IF(COUNTIF($F:$F,F455)&gt;1,"REVIEW - same amount appears twice",IF(G455=0,"UNMATCHED - no ledger entry",IF(G455&gt;1,"REVIEW - matches several ledger entries","Matched"))))</f>
        <v/>
      </c>
    </row>
    <row r="456">
      <c r="A456" s="8" t="n"/>
      <c r="B456" s="9" t="n"/>
      <c r="C456" s="10" t="n"/>
      <c r="D456" s="10" t="n"/>
      <c r="E456" s="10">
        <f>N(C456)-N(D456)</f>
        <v/>
      </c>
      <c r="F456" s="9">
        <f>IF(E456=0,"",TEXT(ABS(E456),"0.00")&amp;"|"&amp;IF(E456&gt;0,"AR","AP"))</f>
        <v/>
      </c>
      <c r="G456" s="9">
        <f>IF(F456="","",COUNTIF(Ledger!$H:$H,F456))</f>
        <v/>
      </c>
      <c r="H456" s="9">
        <f>IF(F456="","",IF(COUNTIF($F:$F,F456)&gt;1,"REVIEW - same amount appears twice",IF(G456=0,"UNMATCHED - no ledger entry",IF(G456&gt;1,"REVIEW - matches several ledger entries","Matched"))))</f>
        <v/>
      </c>
    </row>
    <row r="457">
      <c r="A457" s="8" t="n"/>
      <c r="B457" s="9" t="n"/>
      <c r="C457" s="10" t="n"/>
      <c r="D457" s="10" t="n"/>
      <c r="E457" s="10">
        <f>N(C457)-N(D457)</f>
        <v/>
      </c>
      <c r="F457" s="9">
        <f>IF(E457=0,"",TEXT(ABS(E457),"0.00")&amp;"|"&amp;IF(E457&gt;0,"AR","AP"))</f>
        <v/>
      </c>
      <c r="G457" s="9">
        <f>IF(F457="","",COUNTIF(Ledger!$H:$H,F457))</f>
        <v/>
      </c>
      <c r="H457" s="9">
        <f>IF(F457="","",IF(COUNTIF($F:$F,F457)&gt;1,"REVIEW - same amount appears twice",IF(G457=0,"UNMATCHED - no ledger entry",IF(G457&gt;1,"REVIEW - matches several ledger entries","Matched"))))</f>
        <v/>
      </c>
    </row>
    <row r="458">
      <c r="A458" s="8" t="n"/>
      <c r="B458" s="9" t="n"/>
      <c r="C458" s="10" t="n"/>
      <c r="D458" s="10" t="n"/>
      <c r="E458" s="10">
        <f>N(C458)-N(D458)</f>
        <v/>
      </c>
      <c r="F458" s="9">
        <f>IF(E458=0,"",TEXT(ABS(E458),"0.00")&amp;"|"&amp;IF(E458&gt;0,"AR","AP"))</f>
        <v/>
      </c>
      <c r="G458" s="9">
        <f>IF(F458="","",COUNTIF(Ledger!$H:$H,F458))</f>
        <v/>
      </c>
      <c r="H458" s="9">
        <f>IF(F458="","",IF(COUNTIF($F:$F,F458)&gt;1,"REVIEW - same amount appears twice",IF(G458=0,"UNMATCHED - no ledger entry",IF(G458&gt;1,"REVIEW - matches several ledger entries","Matched"))))</f>
        <v/>
      </c>
    </row>
    <row r="459">
      <c r="A459" s="8" t="n"/>
      <c r="B459" s="9" t="n"/>
      <c r="C459" s="10" t="n"/>
      <c r="D459" s="10" t="n"/>
      <c r="E459" s="10">
        <f>N(C459)-N(D459)</f>
        <v/>
      </c>
      <c r="F459" s="9">
        <f>IF(E459=0,"",TEXT(ABS(E459),"0.00")&amp;"|"&amp;IF(E459&gt;0,"AR","AP"))</f>
        <v/>
      </c>
      <c r="G459" s="9">
        <f>IF(F459="","",COUNTIF(Ledger!$H:$H,F459))</f>
        <v/>
      </c>
      <c r="H459" s="9">
        <f>IF(F459="","",IF(COUNTIF($F:$F,F459)&gt;1,"REVIEW - same amount appears twice",IF(G459=0,"UNMATCHED - no ledger entry",IF(G459&gt;1,"REVIEW - matches several ledger entries","Matched"))))</f>
        <v/>
      </c>
    </row>
    <row r="460">
      <c r="A460" s="8" t="n"/>
      <c r="B460" s="9" t="n"/>
      <c r="C460" s="10" t="n"/>
      <c r="D460" s="10" t="n"/>
      <c r="E460" s="10">
        <f>N(C460)-N(D460)</f>
        <v/>
      </c>
      <c r="F460" s="9">
        <f>IF(E460=0,"",TEXT(ABS(E460),"0.00")&amp;"|"&amp;IF(E460&gt;0,"AR","AP"))</f>
        <v/>
      </c>
      <c r="G460" s="9">
        <f>IF(F460="","",COUNTIF(Ledger!$H:$H,F460))</f>
        <v/>
      </c>
      <c r="H460" s="9">
        <f>IF(F460="","",IF(COUNTIF($F:$F,F460)&gt;1,"REVIEW - same amount appears twice",IF(G460=0,"UNMATCHED - no ledger entry",IF(G460&gt;1,"REVIEW - matches several ledger entries","Matched"))))</f>
        <v/>
      </c>
    </row>
    <row r="461">
      <c r="A461" s="8" t="n"/>
      <c r="B461" s="9" t="n"/>
      <c r="C461" s="10" t="n"/>
      <c r="D461" s="10" t="n"/>
      <c r="E461" s="10">
        <f>N(C461)-N(D461)</f>
        <v/>
      </c>
      <c r="F461" s="9">
        <f>IF(E461=0,"",TEXT(ABS(E461),"0.00")&amp;"|"&amp;IF(E461&gt;0,"AR","AP"))</f>
        <v/>
      </c>
      <c r="G461" s="9">
        <f>IF(F461="","",COUNTIF(Ledger!$H:$H,F461))</f>
        <v/>
      </c>
      <c r="H461" s="9">
        <f>IF(F461="","",IF(COUNTIF($F:$F,F461)&gt;1,"REVIEW - same amount appears twice",IF(G461=0,"UNMATCHED - no ledger entry",IF(G461&gt;1,"REVIEW - matches several ledger entries","Matched"))))</f>
        <v/>
      </c>
    </row>
    <row r="462">
      <c r="A462" s="8" t="n"/>
      <c r="B462" s="9" t="n"/>
      <c r="C462" s="10" t="n"/>
      <c r="D462" s="10" t="n"/>
      <c r="E462" s="10">
        <f>N(C462)-N(D462)</f>
        <v/>
      </c>
      <c r="F462" s="9">
        <f>IF(E462=0,"",TEXT(ABS(E462),"0.00")&amp;"|"&amp;IF(E462&gt;0,"AR","AP"))</f>
        <v/>
      </c>
      <c r="G462" s="9">
        <f>IF(F462="","",COUNTIF(Ledger!$H:$H,F462))</f>
        <v/>
      </c>
      <c r="H462" s="9">
        <f>IF(F462="","",IF(COUNTIF($F:$F,F462)&gt;1,"REVIEW - same amount appears twice",IF(G462=0,"UNMATCHED - no ledger entry",IF(G462&gt;1,"REVIEW - matches several ledger entries","Matched"))))</f>
        <v/>
      </c>
    </row>
    <row r="463">
      <c r="A463" s="8" t="n"/>
      <c r="B463" s="9" t="n"/>
      <c r="C463" s="10" t="n"/>
      <c r="D463" s="10" t="n"/>
      <c r="E463" s="10">
        <f>N(C463)-N(D463)</f>
        <v/>
      </c>
      <c r="F463" s="9">
        <f>IF(E463=0,"",TEXT(ABS(E463),"0.00")&amp;"|"&amp;IF(E463&gt;0,"AR","AP"))</f>
        <v/>
      </c>
      <c r="G463" s="9">
        <f>IF(F463="","",COUNTIF(Ledger!$H:$H,F463))</f>
        <v/>
      </c>
      <c r="H463" s="9">
        <f>IF(F463="","",IF(COUNTIF($F:$F,F463)&gt;1,"REVIEW - same amount appears twice",IF(G463=0,"UNMATCHED - no ledger entry",IF(G463&gt;1,"REVIEW - matches several ledger entries","Matched"))))</f>
        <v/>
      </c>
    </row>
    <row r="464">
      <c r="A464" s="8" t="n"/>
      <c r="B464" s="9" t="n"/>
      <c r="C464" s="10" t="n"/>
      <c r="D464" s="10" t="n"/>
      <c r="E464" s="10">
        <f>N(C464)-N(D464)</f>
        <v/>
      </c>
      <c r="F464" s="9">
        <f>IF(E464=0,"",TEXT(ABS(E464),"0.00")&amp;"|"&amp;IF(E464&gt;0,"AR","AP"))</f>
        <v/>
      </c>
      <c r="G464" s="9">
        <f>IF(F464="","",COUNTIF(Ledger!$H:$H,F464))</f>
        <v/>
      </c>
      <c r="H464" s="9">
        <f>IF(F464="","",IF(COUNTIF($F:$F,F464)&gt;1,"REVIEW - same amount appears twice",IF(G464=0,"UNMATCHED - no ledger entry",IF(G464&gt;1,"REVIEW - matches several ledger entries","Matched"))))</f>
        <v/>
      </c>
    </row>
    <row r="465">
      <c r="A465" s="8" t="n"/>
      <c r="B465" s="9" t="n"/>
      <c r="C465" s="10" t="n"/>
      <c r="D465" s="10" t="n"/>
      <c r="E465" s="10">
        <f>N(C465)-N(D465)</f>
        <v/>
      </c>
      <c r="F465" s="9">
        <f>IF(E465=0,"",TEXT(ABS(E465),"0.00")&amp;"|"&amp;IF(E465&gt;0,"AR","AP"))</f>
        <v/>
      </c>
      <c r="G465" s="9">
        <f>IF(F465="","",COUNTIF(Ledger!$H:$H,F465))</f>
        <v/>
      </c>
      <c r="H465" s="9">
        <f>IF(F465="","",IF(COUNTIF($F:$F,F465)&gt;1,"REVIEW - same amount appears twice",IF(G465=0,"UNMATCHED - no ledger entry",IF(G465&gt;1,"REVIEW - matches several ledger entries","Matched"))))</f>
        <v/>
      </c>
    </row>
    <row r="466">
      <c r="A466" s="8" t="n"/>
      <c r="B466" s="9" t="n"/>
      <c r="C466" s="10" t="n"/>
      <c r="D466" s="10" t="n"/>
      <c r="E466" s="10">
        <f>N(C466)-N(D466)</f>
        <v/>
      </c>
      <c r="F466" s="9">
        <f>IF(E466=0,"",TEXT(ABS(E466),"0.00")&amp;"|"&amp;IF(E466&gt;0,"AR","AP"))</f>
        <v/>
      </c>
      <c r="G466" s="9">
        <f>IF(F466="","",COUNTIF(Ledger!$H:$H,F466))</f>
        <v/>
      </c>
      <c r="H466" s="9">
        <f>IF(F466="","",IF(COUNTIF($F:$F,F466)&gt;1,"REVIEW - same amount appears twice",IF(G466=0,"UNMATCHED - no ledger entry",IF(G466&gt;1,"REVIEW - matches several ledger entries","Matched"))))</f>
        <v/>
      </c>
    </row>
    <row r="467">
      <c r="A467" s="8" t="n"/>
      <c r="B467" s="9" t="n"/>
      <c r="C467" s="10" t="n"/>
      <c r="D467" s="10" t="n"/>
      <c r="E467" s="10">
        <f>N(C467)-N(D467)</f>
        <v/>
      </c>
      <c r="F467" s="9">
        <f>IF(E467=0,"",TEXT(ABS(E467),"0.00")&amp;"|"&amp;IF(E467&gt;0,"AR","AP"))</f>
        <v/>
      </c>
      <c r="G467" s="9">
        <f>IF(F467="","",COUNTIF(Ledger!$H:$H,F467))</f>
        <v/>
      </c>
      <c r="H467" s="9">
        <f>IF(F467="","",IF(COUNTIF($F:$F,F467)&gt;1,"REVIEW - same amount appears twice",IF(G467=0,"UNMATCHED - no ledger entry",IF(G467&gt;1,"REVIEW - matches several ledger entries","Matched"))))</f>
        <v/>
      </c>
    </row>
    <row r="468">
      <c r="A468" s="8" t="n"/>
      <c r="B468" s="9" t="n"/>
      <c r="C468" s="10" t="n"/>
      <c r="D468" s="10" t="n"/>
      <c r="E468" s="10">
        <f>N(C468)-N(D468)</f>
        <v/>
      </c>
      <c r="F468" s="9">
        <f>IF(E468=0,"",TEXT(ABS(E468),"0.00")&amp;"|"&amp;IF(E468&gt;0,"AR","AP"))</f>
        <v/>
      </c>
      <c r="G468" s="9">
        <f>IF(F468="","",COUNTIF(Ledger!$H:$H,F468))</f>
        <v/>
      </c>
      <c r="H468" s="9">
        <f>IF(F468="","",IF(COUNTIF($F:$F,F468)&gt;1,"REVIEW - same amount appears twice",IF(G468=0,"UNMATCHED - no ledger entry",IF(G468&gt;1,"REVIEW - matches several ledger entries","Matched"))))</f>
        <v/>
      </c>
    </row>
    <row r="469">
      <c r="A469" s="8" t="n"/>
      <c r="B469" s="9" t="n"/>
      <c r="C469" s="10" t="n"/>
      <c r="D469" s="10" t="n"/>
      <c r="E469" s="10">
        <f>N(C469)-N(D469)</f>
        <v/>
      </c>
      <c r="F469" s="9">
        <f>IF(E469=0,"",TEXT(ABS(E469),"0.00")&amp;"|"&amp;IF(E469&gt;0,"AR","AP"))</f>
        <v/>
      </c>
      <c r="G469" s="9">
        <f>IF(F469="","",COUNTIF(Ledger!$H:$H,F469))</f>
        <v/>
      </c>
      <c r="H469" s="9">
        <f>IF(F469="","",IF(COUNTIF($F:$F,F469)&gt;1,"REVIEW - same amount appears twice",IF(G469=0,"UNMATCHED - no ledger entry",IF(G469&gt;1,"REVIEW - matches several ledger entries","Matched"))))</f>
        <v/>
      </c>
    </row>
    <row r="470">
      <c r="A470" s="8" t="n"/>
      <c r="B470" s="9" t="n"/>
      <c r="C470" s="10" t="n"/>
      <c r="D470" s="10" t="n"/>
      <c r="E470" s="10">
        <f>N(C470)-N(D470)</f>
        <v/>
      </c>
      <c r="F470" s="9">
        <f>IF(E470=0,"",TEXT(ABS(E470),"0.00")&amp;"|"&amp;IF(E470&gt;0,"AR","AP"))</f>
        <v/>
      </c>
      <c r="G470" s="9">
        <f>IF(F470="","",COUNTIF(Ledger!$H:$H,F470))</f>
        <v/>
      </c>
      <c r="H470" s="9">
        <f>IF(F470="","",IF(COUNTIF($F:$F,F470)&gt;1,"REVIEW - same amount appears twice",IF(G470=0,"UNMATCHED - no ledger entry",IF(G470&gt;1,"REVIEW - matches several ledger entries","Matched"))))</f>
        <v/>
      </c>
    </row>
    <row r="471">
      <c r="A471" s="8" t="n"/>
      <c r="B471" s="9" t="n"/>
      <c r="C471" s="10" t="n"/>
      <c r="D471" s="10" t="n"/>
      <c r="E471" s="10">
        <f>N(C471)-N(D471)</f>
        <v/>
      </c>
      <c r="F471" s="9">
        <f>IF(E471=0,"",TEXT(ABS(E471),"0.00")&amp;"|"&amp;IF(E471&gt;0,"AR","AP"))</f>
        <v/>
      </c>
      <c r="G471" s="9">
        <f>IF(F471="","",COUNTIF(Ledger!$H:$H,F471))</f>
        <v/>
      </c>
      <c r="H471" s="9">
        <f>IF(F471="","",IF(COUNTIF($F:$F,F471)&gt;1,"REVIEW - same amount appears twice",IF(G471=0,"UNMATCHED - no ledger entry",IF(G471&gt;1,"REVIEW - matches several ledger entries","Matched"))))</f>
        <v/>
      </c>
    </row>
    <row r="472">
      <c r="A472" s="8" t="n"/>
      <c r="B472" s="9" t="n"/>
      <c r="C472" s="10" t="n"/>
      <c r="D472" s="10" t="n"/>
      <c r="E472" s="10">
        <f>N(C472)-N(D472)</f>
        <v/>
      </c>
      <c r="F472" s="9">
        <f>IF(E472=0,"",TEXT(ABS(E472),"0.00")&amp;"|"&amp;IF(E472&gt;0,"AR","AP"))</f>
        <v/>
      </c>
      <c r="G472" s="9">
        <f>IF(F472="","",COUNTIF(Ledger!$H:$H,F472))</f>
        <v/>
      </c>
      <c r="H472" s="9">
        <f>IF(F472="","",IF(COUNTIF($F:$F,F472)&gt;1,"REVIEW - same amount appears twice",IF(G472=0,"UNMATCHED - no ledger entry",IF(G472&gt;1,"REVIEW - matches several ledger entries","Matched"))))</f>
        <v/>
      </c>
    </row>
    <row r="473">
      <c r="A473" s="8" t="n"/>
      <c r="B473" s="9" t="n"/>
      <c r="C473" s="10" t="n"/>
      <c r="D473" s="10" t="n"/>
      <c r="E473" s="10">
        <f>N(C473)-N(D473)</f>
        <v/>
      </c>
      <c r="F473" s="9">
        <f>IF(E473=0,"",TEXT(ABS(E473),"0.00")&amp;"|"&amp;IF(E473&gt;0,"AR","AP"))</f>
        <v/>
      </c>
      <c r="G473" s="9">
        <f>IF(F473="","",COUNTIF(Ledger!$H:$H,F473))</f>
        <v/>
      </c>
      <c r="H473" s="9">
        <f>IF(F473="","",IF(COUNTIF($F:$F,F473)&gt;1,"REVIEW - same amount appears twice",IF(G473=0,"UNMATCHED - no ledger entry",IF(G473&gt;1,"REVIEW - matches several ledger entries","Matched"))))</f>
        <v/>
      </c>
    </row>
    <row r="474">
      <c r="A474" s="8" t="n"/>
      <c r="B474" s="9" t="n"/>
      <c r="C474" s="10" t="n"/>
      <c r="D474" s="10" t="n"/>
      <c r="E474" s="10">
        <f>N(C474)-N(D474)</f>
        <v/>
      </c>
      <c r="F474" s="9">
        <f>IF(E474=0,"",TEXT(ABS(E474),"0.00")&amp;"|"&amp;IF(E474&gt;0,"AR","AP"))</f>
        <v/>
      </c>
      <c r="G474" s="9">
        <f>IF(F474="","",COUNTIF(Ledger!$H:$H,F474))</f>
        <v/>
      </c>
      <c r="H474" s="9">
        <f>IF(F474="","",IF(COUNTIF($F:$F,F474)&gt;1,"REVIEW - same amount appears twice",IF(G474=0,"UNMATCHED - no ledger entry",IF(G474&gt;1,"REVIEW - matches several ledger entries","Matched"))))</f>
        <v/>
      </c>
    </row>
    <row r="475">
      <c r="A475" s="8" t="n"/>
      <c r="B475" s="9" t="n"/>
      <c r="C475" s="10" t="n"/>
      <c r="D475" s="10" t="n"/>
      <c r="E475" s="10">
        <f>N(C475)-N(D475)</f>
        <v/>
      </c>
      <c r="F475" s="9">
        <f>IF(E475=0,"",TEXT(ABS(E475),"0.00")&amp;"|"&amp;IF(E475&gt;0,"AR","AP"))</f>
        <v/>
      </c>
      <c r="G475" s="9">
        <f>IF(F475="","",COUNTIF(Ledger!$H:$H,F475))</f>
        <v/>
      </c>
      <c r="H475" s="9">
        <f>IF(F475="","",IF(COUNTIF($F:$F,F475)&gt;1,"REVIEW - same amount appears twice",IF(G475=0,"UNMATCHED - no ledger entry",IF(G475&gt;1,"REVIEW - matches several ledger entries","Matched"))))</f>
        <v/>
      </c>
    </row>
    <row r="476">
      <c r="A476" s="8" t="n"/>
      <c r="B476" s="9" t="n"/>
      <c r="C476" s="10" t="n"/>
      <c r="D476" s="10" t="n"/>
      <c r="E476" s="10">
        <f>N(C476)-N(D476)</f>
        <v/>
      </c>
      <c r="F476" s="9">
        <f>IF(E476=0,"",TEXT(ABS(E476),"0.00")&amp;"|"&amp;IF(E476&gt;0,"AR","AP"))</f>
        <v/>
      </c>
      <c r="G476" s="9">
        <f>IF(F476="","",COUNTIF(Ledger!$H:$H,F476))</f>
        <v/>
      </c>
      <c r="H476" s="9">
        <f>IF(F476="","",IF(COUNTIF($F:$F,F476)&gt;1,"REVIEW - same amount appears twice",IF(G476=0,"UNMATCHED - no ledger entry",IF(G476&gt;1,"REVIEW - matches several ledger entries","Matched"))))</f>
        <v/>
      </c>
    </row>
    <row r="477">
      <c r="A477" s="8" t="n"/>
      <c r="B477" s="9" t="n"/>
      <c r="C477" s="10" t="n"/>
      <c r="D477" s="10" t="n"/>
      <c r="E477" s="10">
        <f>N(C477)-N(D477)</f>
        <v/>
      </c>
      <c r="F477" s="9">
        <f>IF(E477=0,"",TEXT(ABS(E477),"0.00")&amp;"|"&amp;IF(E477&gt;0,"AR","AP"))</f>
        <v/>
      </c>
      <c r="G477" s="9">
        <f>IF(F477="","",COUNTIF(Ledger!$H:$H,F477))</f>
        <v/>
      </c>
      <c r="H477" s="9">
        <f>IF(F477="","",IF(COUNTIF($F:$F,F477)&gt;1,"REVIEW - same amount appears twice",IF(G477=0,"UNMATCHED - no ledger entry",IF(G477&gt;1,"REVIEW - matches several ledger entries","Matched"))))</f>
        <v/>
      </c>
    </row>
    <row r="478">
      <c r="A478" s="8" t="n"/>
      <c r="B478" s="9" t="n"/>
      <c r="C478" s="10" t="n"/>
      <c r="D478" s="10" t="n"/>
      <c r="E478" s="10">
        <f>N(C478)-N(D478)</f>
        <v/>
      </c>
      <c r="F478" s="9">
        <f>IF(E478=0,"",TEXT(ABS(E478),"0.00")&amp;"|"&amp;IF(E478&gt;0,"AR","AP"))</f>
        <v/>
      </c>
      <c r="G478" s="9">
        <f>IF(F478="","",COUNTIF(Ledger!$H:$H,F478))</f>
        <v/>
      </c>
      <c r="H478" s="9">
        <f>IF(F478="","",IF(COUNTIF($F:$F,F478)&gt;1,"REVIEW - same amount appears twice",IF(G478=0,"UNMATCHED - no ledger entry",IF(G478&gt;1,"REVIEW - matches several ledger entries","Matched"))))</f>
        <v/>
      </c>
    </row>
    <row r="479">
      <c r="A479" s="8" t="n"/>
      <c r="B479" s="9" t="n"/>
      <c r="C479" s="10" t="n"/>
      <c r="D479" s="10" t="n"/>
      <c r="E479" s="10">
        <f>N(C479)-N(D479)</f>
        <v/>
      </c>
      <c r="F479" s="9">
        <f>IF(E479=0,"",TEXT(ABS(E479),"0.00")&amp;"|"&amp;IF(E479&gt;0,"AR","AP"))</f>
        <v/>
      </c>
      <c r="G479" s="9">
        <f>IF(F479="","",COUNTIF(Ledger!$H:$H,F479))</f>
        <v/>
      </c>
      <c r="H479" s="9">
        <f>IF(F479="","",IF(COUNTIF($F:$F,F479)&gt;1,"REVIEW - same amount appears twice",IF(G479=0,"UNMATCHED - no ledger entry",IF(G479&gt;1,"REVIEW - matches several ledger entries","Matched"))))</f>
        <v/>
      </c>
    </row>
    <row r="480">
      <c r="A480" s="8" t="n"/>
      <c r="B480" s="9" t="n"/>
      <c r="C480" s="10" t="n"/>
      <c r="D480" s="10" t="n"/>
      <c r="E480" s="10">
        <f>N(C480)-N(D480)</f>
        <v/>
      </c>
      <c r="F480" s="9">
        <f>IF(E480=0,"",TEXT(ABS(E480),"0.00")&amp;"|"&amp;IF(E480&gt;0,"AR","AP"))</f>
        <v/>
      </c>
      <c r="G480" s="9">
        <f>IF(F480="","",COUNTIF(Ledger!$H:$H,F480))</f>
        <v/>
      </c>
      <c r="H480" s="9">
        <f>IF(F480="","",IF(COUNTIF($F:$F,F480)&gt;1,"REVIEW - same amount appears twice",IF(G480=0,"UNMATCHED - no ledger entry",IF(G480&gt;1,"REVIEW - matches several ledger entries","Matched"))))</f>
        <v/>
      </c>
    </row>
    <row r="481">
      <c r="A481" s="8" t="n"/>
      <c r="B481" s="9" t="n"/>
      <c r="C481" s="10" t="n"/>
      <c r="D481" s="10" t="n"/>
      <c r="E481" s="10">
        <f>N(C481)-N(D481)</f>
        <v/>
      </c>
      <c r="F481" s="9">
        <f>IF(E481=0,"",TEXT(ABS(E481),"0.00")&amp;"|"&amp;IF(E481&gt;0,"AR","AP"))</f>
        <v/>
      </c>
      <c r="G481" s="9">
        <f>IF(F481="","",COUNTIF(Ledger!$H:$H,F481))</f>
        <v/>
      </c>
      <c r="H481" s="9">
        <f>IF(F481="","",IF(COUNTIF($F:$F,F481)&gt;1,"REVIEW - same amount appears twice",IF(G481=0,"UNMATCHED - no ledger entry",IF(G481&gt;1,"REVIEW - matches several ledger entries","Matched"))))</f>
        <v/>
      </c>
    </row>
    <row r="482">
      <c r="A482" s="8" t="n"/>
      <c r="B482" s="9" t="n"/>
      <c r="C482" s="10" t="n"/>
      <c r="D482" s="10" t="n"/>
      <c r="E482" s="10">
        <f>N(C482)-N(D482)</f>
        <v/>
      </c>
      <c r="F482" s="9">
        <f>IF(E482=0,"",TEXT(ABS(E482),"0.00")&amp;"|"&amp;IF(E482&gt;0,"AR","AP"))</f>
        <v/>
      </c>
      <c r="G482" s="9">
        <f>IF(F482="","",COUNTIF(Ledger!$H:$H,F482))</f>
        <v/>
      </c>
      <c r="H482" s="9">
        <f>IF(F482="","",IF(COUNTIF($F:$F,F482)&gt;1,"REVIEW - same amount appears twice",IF(G482=0,"UNMATCHED - no ledger entry",IF(G482&gt;1,"REVIEW - matches several ledger entries","Matched"))))</f>
        <v/>
      </c>
    </row>
    <row r="483">
      <c r="A483" s="8" t="n"/>
      <c r="B483" s="9" t="n"/>
      <c r="C483" s="10" t="n"/>
      <c r="D483" s="10" t="n"/>
      <c r="E483" s="10">
        <f>N(C483)-N(D483)</f>
        <v/>
      </c>
      <c r="F483" s="9">
        <f>IF(E483=0,"",TEXT(ABS(E483),"0.00")&amp;"|"&amp;IF(E483&gt;0,"AR","AP"))</f>
        <v/>
      </c>
      <c r="G483" s="9">
        <f>IF(F483="","",COUNTIF(Ledger!$H:$H,F483))</f>
        <v/>
      </c>
      <c r="H483" s="9">
        <f>IF(F483="","",IF(COUNTIF($F:$F,F483)&gt;1,"REVIEW - same amount appears twice",IF(G483=0,"UNMATCHED - no ledger entry",IF(G483&gt;1,"REVIEW - matches several ledger entries","Matched"))))</f>
        <v/>
      </c>
    </row>
    <row r="484">
      <c r="A484" s="8" t="n"/>
      <c r="B484" s="9" t="n"/>
      <c r="C484" s="10" t="n"/>
      <c r="D484" s="10" t="n"/>
      <c r="E484" s="10">
        <f>N(C484)-N(D484)</f>
        <v/>
      </c>
      <c r="F484" s="9">
        <f>IF(E484=0,"",TEXT(ABS(E484),"0.00")&amp;"|"&amp;IF(E484&gt;0,"AR","AP"))</f>
        <v/>
      </c>
      <c r="G484" s="9">
        <f>IF(F484="","",COUNTIF(Ledger!$H:$H,F484))</f>
        <v/>
      </c>
      <c r="H484" s="9">
        <f>IF(F484="","",IF(COUNTIF($F:$F,F484)&gt;1,"REVIEW - same amount appears twice",IF(G484=0,"UNMATCHED - no ledger entry",IF(G484&gt;1,"REVIEW - matches several ledger entries","Matched"))))</f>
        <v/>
      </c>
    </row>
    <row r="485">
      <c r="A485" s="8" t="n"/>
      <c r="B485" s="9" t="n"/>
      <c r="C485" s="10" t="n"/>
      <c r="D485" s="10" t="n"/>
      <c r="E485" s="10">
        <f>N(C485)-N(D485)</f>
        <v/>
      </c>
      <c r="F485" s="9">
        <f>IF(E485=0,"",TEXT(ABS(E485),"0.00")&amp;"|"&amp;IF(E485&gt;0,"AR","AP"))</f>
        <v/>
      </c>
      <c r="G485" s="9">
        <f>IF(F485="","",COUNTIF(Ledger!$H:$H,F485))</f>
        <v/>
      </c>
      <c r="H485" s="9">
        <f>IF(F485="","",IF(COUNTIF($F:$F,F485)&gt;1,"REVIEW - same amount appears twice",IF(G485=0,"UNMATCHED - no ledger entry",IF(G485&gt;1,"REVIEW - matches several ledger entries","Matched"))))</f>
        <v/>
      </c>
    </row>
    <row r="486">
      <c r="A486" s="8" t="n"/>
      <c r="B486" s="9" t="n"/>
      <c r="C486" s="10" t="n"/>
      <c r="D486" s="10" t="n"/>
      <c r="E486" s="10">
        <f>N(C486)-N(D486)</f>
        <v/>
      </c>
      <c r="F486" s="9">
        <f>IF(E486=0,"",TEXT(ABS(E486),"0.00")&amp;"|"&amp;IF(E486&gt;0,"AR","AP"))</f>
        <v/>
      </c>
      <c r="G486" s="9">
        <f>IF(F486="","",COUNTIF(Ledger!$H:$H,F486))</f>
        <v/>
      </c>
      <c r="H486" s="9">
        <f>IF(F486="","",IF(COUNTIF($F:$F,F486)&gt;1,"REVIEW - same amount appears twice",IF(G486=0,"UNMATCHED - no ledger entry",IF(G486&gt;1,"REVIEW - matches several ledger entries","Matched"))))</f>
        <v/>
      </c>
    </row>
    <row r="487">
      <c r="A487" s="8" t="n"/>
      <c r="B487" s="9" t="n"/>
      <c r="C487" s="10" t="n"/>
      <c r="D487" s="10" t="n"/>
      <c r="E487" s="10">
        <f>N(C487)-N(D487)</f>
        <v/>
      </c>
      <c r="F487" s="9">
        <f>IF(E487=0,"",TEXT(ABS(E487),"0.00")&amp;"|"&amp;IF(E487&gt;0,"AR","AP"))</f>
        <v/>
      </c>
      <c r="G487" s="9">
        <f>IF(F487="","",COUNTIF(Ledger!$H:$H,F487))</f>
        <v/>
      </c>
      <c r="H487" s="9">
        <f>IF(F487="","",IF(COUNTIF($F:$F,F487)&gt;1,"REVIEW - same amount appears twice",IF(G487=0,"UNMATCHED - no ledger entry",IF(G487&gt;1,"REVIEW - matches several ledger entries","Matched"))))</f>
        <v/>
      </c>
    </row>
    <row r="488">
      <c r="A488" s="8" t="n"/>
      <c r="B488" s="9" t="n"/>
      <c r="C488" s="10" t="n"/>
      <c r="D488" s="10" t="n"/>
      <c r="E488" s="10">
        <f>N(C488)-N(D488)</f>
        <v/>
      </c>
      <c r="F488" s="9">
        <f>IF(E488=0,"",TEXT(ABS(E488),"0.00")&amp;"|"&amp;IF(E488&gt;0,"AR","AP"))</f>
        <v/>
      </c>
      <c r="G488" s="9">
        <f>IF(F488="","",COUNTIF(Ledger!$H:$H,F488))</f>
        <v/>
      </c>
      <c r="H488" s="9">
        <f>IF(F488="","",IF(COUNTIF($F:$F,F488)&gt;1,"REVIEW - same amount appears twice",IF(G488=0,"UNMATCHED - no ledger entry",IF(G488&gt;1,"REVIEW - matches several ledger entries","Matched"))))</f>
        <v/>
      </c>
    </row>
    <row r="489">
      <c r="A489" s="8" t="n"/>
      <c r="B489" s="9" t="n"/>
      <c r="C489" s="10" t="n"/>
      <c r="D489" s="10" t="n"/>
      <c r="E489" s="10">
        <f>N(C489)-N(D489)</f>
        <v/>
      </c>
      <c r="F489" s="9">
        <f>IF(E489=0,"",TEXT(ABS(E489),"0.00")&amp;"|"&amp;IF(E489&gt;0,"AR","AP"))</f>
        <v/>
      </c>
      <c r="G489" s="9">
        <f>IF(F489="","",COUNTIF(Ledger!$H:$H,F489))</f>
        <v/>
      </c>
      <c r="H489" s="9">
        <f>IF(F489="","",IF(COUNTIF($F:$F,F489)&gt;1,"REVIEW - same amount appears twice",IF(G489=0,"UNMATCHED - no ledger entry",IF(G489&gt;1,"REVIEW - matches several ledger entries","Matched"))))</f>
        <v/>
      </c>
    </row>
    <row r="490">
      <c r="A490" s="8" t="n"/>
      <c r="B490" s="9" t="n"/>
      <c r="C490" s="10" t="n"/>
      <c r="D490" s="10" t="n"/>
      <c r="E490" s="10">
        <f>N(C490)-N(D490)</f>
        <v/>
      </c>
      <c r="F490" s="9">
        <f>IF(E490=0,"",TEXT(ABS(E490),"0.00")&amp;"|"&amp;IF(E490&gt;0,"AR","AP"))</f>
        <v/>
      </c>
      <c r="G490" s="9">
        <f>IF(F490="","",COUNTIF(Ledger!$H:$H,F490))</f>
        <v/>
      </c>
      <c r="H490" s="9">
        <f>IF(F490="","",IF(COUNTIF($F:$F,F490)&gt;1,"REVIEW - same amount appears twice",IF(G490=0,"UNMATCHED - no ledger entry",IF(G490&gt;1,"REVIEW - matches several ledger entries","Matched"))))</f>
        <v/>
      </c>
    </row>
    <row r="491">
      <c r="A491" s="8" t="n"/>
      <c r="B491" s="9" t="n"/>
      <c r="C491" s="10" t="n"/>
      <c r="D491" s="10" t="n"/>
      <c r="E491" s="10">
        <f>N(C491)-N(D491)</f>
        <v/>
      </c>
      <c r="F491" s="9">
        <f>IF(E491=0,"",TEXT(ABS(E491),"0.00")&amp;"|"&amp;IF(E491&gt;0,"AR","AP"))</f>
        <v/>
      </c>
      <c r="G491" s="9">
        <f>IF(F491="","",COUNTIF(Ledger!$H:$H,F491))</f>
        <v/>
      </c>
      <c r="H491" s="9">
        <f>IF(F491="","",IF(COUNTIF($F:$F,F491)&gt;1,"REVIEW - same amount appears twice",IF(G491=0,"UNMATCHED - no ledger entry",IF(G491&gt;1,"REVIEW - matches several ledger entries","Matched"))))</f>
        <v/>
      </c>
    </row>
    <row r="492">
      <c r="A492" s="8" t="n"/>
      <c r="B492" s="9" t="n"/>
      <c r="C492" s="10" t="n"/>
      <c r="D492" s="10" t="n"/>
      <c r="E492" s="10">
        <f>N(C492)-N(D492)</f>
        <v/>
      </c>
      <c r="F492" s="9">
        <f>IF(E492=0,"",TEXT(ABS(E492),"0.00")&amp;"|"&amp;IF(E492&gt;0,"AR","AP"))</f>
        <v/>
      </c>
      <c r="G492" s="9">
        <f>IF(F492="","",COUNTIF(Ledger!$H:$H,F492))</f>
        <v/>
      </c>
      <c r="H492" s="9">
        <f>IF(F492="","",IF(COUNTIF($F:$F,F492)&gt;1,"REVIEW - same amount appears twice",IF(G492=0,"UNMATCHED - no ledger entry",IF(G492&gt;1,"REVIEW - matches several ledger entries","Matched"))))</f>
        <v/>
      </c>
    </row>
    <row r="493">
      <c r="A493" s="8" t="n"/>
      <c r="B493" s="9" t="n"/>
      <c r="C493" s="10" t="n"/>
      <c r="D493" s="10" t="n"/>
      <c r="E493" s="10">
        <f>N(C493)-N(D493)</f>
        <v/>
      </c>
      <c r="F493" s="9">
        <f>IF(E493=0,"",TEXT(ABS(E493),"0.00")&amp;"|"&amp;IF(E493&gt;0,"AR","AP"))</f>
        <v/>
      </c>
      <c r="G493" s="9">
        <f>IF(F493="","",COUNTIF(Ledger!$H:$H,F493))</f>
        <v/>
      </c>
      <c r="H493" s="9">
        <f>IF(F493="","",IF(COUNTIF($F:$F,F493)&gt;1,"REVIEW - same amount appears twice",IF(G493=0,"UNMATCHED - no ledger entry",IF(G493&gt;1,"REVIEW - matches several ledger entries","Matched"))))</f>
        <v/>
      </c>
    </row>
    <row r="494">
      <c r="A494" s="8" t="n"/>
      <c r="B494" s="9" t="n"/>
      <c r="C494" s="10" t="n"/>
      <c r="D494" s="10" t="n"/>
      <c r="E494" s="10">
        <f>N(C494)-N(D494)</f>
        <v/>
      </c>
      <c r="F494" s="9">
        <f>IF(E494=0,"",TEXT(ABS(E494),"0.00")&amp;"|"&amp;IF(E494&gt;0,"AR","AP"))</f>
        <v/>
      </c>
      <c r="G494" s="9">
        <f>IF(F494="","",COUNTIF(Ledger!$H:$H,F494))</f>
        <v/>
      </c>
      <c r="H494" s="9">
        <f>IF(F494="","",IF(COUNTIF($F:$F,F494)&gt;1,"REVIEW - same amount appears twice",IF(G494=0,"UNMATCHED - no ledger entry",IF(G494&gt;1,"REVIEW - matches several ledger entries","Matched"))))</f>
        <v/>
      </c>
    </row>
    <row r="495">
      <c r="A495" s="8" t="n"/>
      <c r="B495" s="9" t="n"/>
      <c r="C495" s="10" t="n"/>
      <c r="D495" s="10" t="n"/>
      <c r="E495" s="10">
        <f>N(C495)-N(D495)</f>
        <v/>
      </c>
      <c r="F495" s="9">
        <f>IF(E495=0,"",TEXT(ABS(E495),"0.00")&amp;"|"&amp;IF(E495&gt;0,"AR","AP"))</f>
        <v/>
      </c>
      <c r="G495" s="9">
        <f>IF(F495="","",COUNTIF(Ledger!$H:$H,F495))</f>
        <v/>
      </c>
      <c r="H495" s="9">
        <f>IF(F495="","",IF(COUNTIF($F:$F,F495)&gt;1,"REVIEW - same amount appears twice",IF(G495=0,"UNMATCHED - no ledger entry",IF(G495&gt;1,"REVIEW - matches several ledger entries","Matched"))))</f>
        <v/>
      </c>
    </row>
    <row r="496">
      <c r="A496" s="8" t="n"/>
      <c r="B496" s="9" t="n"/>
      <c r="C496" s="10" t="n"/>
      <c r="D496" s="10" t="n"/>
      <c r="E496" s="10">
        <f>N(C496)-N(D496)</f>
        <v/>
      </c>
      <c r="F496" s="9">
        <f>IF(E496=0,"",TEXT(ABS(E496),"0.00")&amp;"|"&amp;IF(E496&gt;0,"AR","AP"))</f>
        <v/>
      </c>
      <c r="G496" s="9">
        <f>IF(F496="","",COUNTIF(Ledger!$H:$H,F496))</f>
        <v/>
      </c>
      <c r="H496" s="9">
        <f>IF(F496="","",IF(COUNTIF($F:$F,F496)&gt;1,"REVIEW - same amount appears twice",IF(G496=0,"UNMATCHED - no ledger entry",IF(G496&gt;1,"REVIEW - matches several ledger entries","Matched"))))</f>
        <v/>
      </c>
    </row>
    <row r="497">
      <c r="A497" s="8" t="n"/>
      <c r="B497" s="9" t="n"/>
      <c r="C497" s="10" t="n"/>
      <c r="D497" s="10" t="n"/>
      <c r="E497" s="10">
        <f>N(C497)-N(D497)</f>
        <v/>
      </c>
      <c r="F497" s="9">
        <f>IF(E497=0,"",TEXT(ABS(E497),"0.00")&amp;"|"&amp;IF(E497&gt;0,"AR","AP"))</f>
        <v/>
      </c>
      <c r="G497" s="9">
        <f>IF(F497="","",COUNTIF(Ledger!$H:$H,F497))</f>
        <v/>
      </c>
      <c r="H497" s="9">
        <f>IF(F497="","",IF(COUNTIF($F:$F,F497)&gt;1,"REVIEW - same amount appears twice",IF(G497=0,"UNMATCHED - no ledger entry",IF(G497&gt;1,"REVIEW - matches several ledger entries","Matched"))))</f>
        <v/>
      </c>
    </row>
    <row r="498">
      <c r="A498" s="8" t="n"/>
      <c r="B498" s="9" t="n"/>
      <c r="C498" s="10" t="n"/>
      <c r="D498" s="10" t="n"/>
      <c r="E498" s="10">
        <f>N(C498)-N(D498)</f>
        <v/>
      </c>
      <c r="F498" s="9">
        <f>IF(E498=0,"",TEXT(ABS(E498),"0.00")&amp;"|"&amp;IF(E498&gt;0,"AR","AP"))</f>
        <v/>
      </c>
      <c r="G498" s="9">
        <f>IF(F498="","",COUNTIF(Ledger!$H:$H,F498))</f>
        <v/>
      </c>
      <c r="H498" s="9">
        <f>IF(F498="","",IF(COUNTIF($F:$F,F498)&gt;1,"REVIEW - same amount appears twice",IF(G498=0,"UNMATCHED - no ledger entry",IF(G498&gt;1,"REVIEW - matches several ledger entries","Matched"))))</f>
        <v/>
      </c>
    </row>
    <row r="499">
      <c r="A499" s="8" t="n"/>
      <c r="B499" s="9" t="n"/>
      <c r="C499" s="10" t="n"/>
      <c r="D499" s="10" t="n"/>
      <c r="E499" s="10">
        <f>N(C499)-N(D499)</f>
        <v/>
      </c>
      <c r="F499" s="9">
        <f>IF(E499=0,"",TEXT(ABS(E499),"0.00")&amp;"|"&amp;IF(E499&gt;0,"AR","AP"))</f>
        <v/>
      </c>
      <c r="G499" s="9">
        <f>IF(F499="","",COUNTIF(Ledger!$H:$H,F499))</f>
        <v/>
      </c>
      <c r="H499" s="9">
        <f>IF(F499="","",IF(COUNTIF($F:$F,F499)&gt;1,"REVIEW - same amount appears twice",IF(G499=0,"UNMATCHED - no ledger entry",IF(G499&gt;1,"REVIEW - matches several ledger entries","Matched"))))</f>
        <v/>
      </c>
    </row>
    <row r="500">
      <c r="A500" s="8" t="n"/>
      <c r="B500" s="9" t="n"/>
      <c r="C500" s="10" t="n"/>
      <c r="D500" s="10" t="n"/>
      <c r="E500" s="10">
        <f>N(C500)-N(D500)</f>
        <v/>
      </c>
      <c r="F500" s="9">
        <f>IF(E500=0,"",TEXT(ABS(E500),"0.00")&amp;"|"&amp;IF(E500&gt;0,"AR","AP"))</f>
        <v/>
      </c>
      <c r="G500" s="9">
        <f>IF(F500="","",COUNTIF(Ledger!$H:$H,F500))</f>
        <v/>
      </c>
      <c r="H500" s="9">
        <f>IF(F500="","",IF(COUNTIF($F:$F,F500)&gt;1,"REVIEW - same amount appears twice",IF(G500=0,"UNMATCHED - no ledger entry",IF(G500&gt;1,"REVIEW - matches several ledger entries","Matched"))))</f>
        <v/>
      </c>
    </row>
    <row r="501">
      <c r="A501" s="8" t="n"/>
      <c r="B501" s="9" t="n"/>
      <c r="C501" s="10" t="n"/>
      <c r="D501" s="10" t="n"/>
      <c r="E501" s="10">
        <f>N(C501)-N(D501)</f>
        <v/>
      </c>
      <c r="F501" s="9">
        <f>IF(E501=0,"",TEXT(ABS(E501),"0.00")&amp;"|"&amp;IF(E501&gt;0,"AR","AP"))</f>
        <v/>
      </c>
      <c r="G501" s="9">
        <f>IF(F501="","",COUNTIF(Ledger!$H:$H,F501))</f>
        <v/>
      </c>
      <c r="H501" s="9">
        <f>IF(F501="","",IF(COUNTIF($F:$F,F501)&gt;1,"REVIEW - same amount appears twice",IF(G501=0,"UNMATCHED - no ledger entry",IF(G501&gt;1,"REVIEW - matches several ledger entries","Matched"))))</f>
        <v/>
      </c>
    </row>
    <row r="502">
      <c r="A502" s="8" t="n"/>
      <c r="B502" s="9" t="n"/>
      <c r="C502" s="10" t="n"/>
      <c r="D502" s="10" t="n"/>
      <c r="E502" s="10">
        <f>N(C502)-N(D502)</f>
        <v/>
      </c>
      <c r="F502" s="9">
        <f>IF(E502=0,"",TEXT(ABS(E502),"0.00")&amp;"|"&amp;IF(E502&gt;0,"AR","AP"))</f>
        <v/>
      </c>
      <c r="G502" s="9">
        <f>IF(F502="","",COUNTIF(Ledger!$H:$H,F502))</f>
        <v/>
      </c>
      <c r="H502" s="9">
        <f>IF(F502="","",IF(COUNTIF($F:$F,F502)&gt;1,"REVIEW - same amount appears twice",IF(G502=0,"UNMATCHED - no ledger entry",IF(G502&gt;1,"REVIEW - matches several ledger entries","Matched"))))</f>
        <v/>
      </c>
    </row>
    <row r="503">
      <c r="A503" s="8" t="n"/>
      <c r="B503" s="9" t="n"/>
      <c r="C503" s="10" t="n"/>
      <c r="D503" s="10" t="n"/>
      <c r="E503" s="10">
        <f>N(C503)-N(D503)</f>
        <v/>
      </c>
      <c r="F503" s="9">
        <f>IF(E503=0,"",TEXT(ABS(E503),"0.00")&amp;"|"&amp;IF(E503&gt;0,"AR","AP"))</f>
        <v/>
      </c>
      <c r="G503" s="9">
        <f>IF(F503="","",COUNTIF(Ledger!$H:$H,F503))</f>
        <v/>
      </c>
      <c r="H503" s="9">
        <f>IF(F503="","",IF(COUNTIF($F:$F,F503)&gt;1,"REVIEW - same amount appears twice",IF(G503=0,"UNMATCHED - no ledger entry",IF(G503&gt;1,"REVIEW - matches several ledger entries","Matched"))))</f>
        <v/>
      </c>
    </row>
    <row r="504">
      <c r="A504" s="8" t="n"/>
      <c r="B504" s="9" t="n"/>
      <c r="C504" s="10" t="n"/>
      <c r="D504" s="10" t="n"/>
      <c r="E504" s="10">
        <f>N(C504)-N(D504)</f>
        <v/>
      </c>
      <c r="F504" s="9">
        <f>IF(E504=0,"",TEXT(ABS(E504),"0.00")&amp;"|"&amp;IF(E504&gt;0,"AR","AP"))</f>
        <v/>
      </c>
      <c r="G504" s="9">
        <f>IF(F504="","",COUNTIF(Ledger!$H:$H,F504))</f>
        <v/>
      </c>
      <c r="H504" s="9">
        <f>IF(F504="","",IF(COUNTIF($F:$F,F504)&gt;1,"REVIEW - same amount appears twice",IF(G504=0,"UNMATCHED - no ledger entry",IF(G504&gt;1,"REVIEW - matches several ledger entries","Matched"))))</f>
        <v/>
      </c>
    </row>
    <row r="505">
      <c r="A505" s="8" t="n"/>
      <c r="B505" s="9" t="n"/>
      <c r="C505" s="10" t="n"/>
      <c r="D505" s="10" t="n"/>
      <c r="E505" s="10">
        <f>N(C505)-N(D505)</f>
        <v/>
      </c>
      <c r="F505" s="9">
        <f>IF(E505=0,"",TEXT(ABS(E505),"0.00")&amp;"|"&amp;IF(E505&gt;0,"AR","AP"))</f>
        <v/>
      </c>
      <c r="G505" s="9">
        <f>IF(F505="","",COUNTIF(Ledger!$H:$H,F505))</f>
        <v/>
      </c>
      <c r="H505" s="9">
        <f>IF(F505="","",IF(COUNTIF($F:$F,F505)&gt;1,"REVIEW - same amount appears twice",IF(G505=0,"UNMATCHED - no ledger entry",IF(G505&gt;1,"REVIEW - matches several ledger entries","Matched"))))</f>
        <v/>
      </c>
    </row>
    <row r="506">
      <c r="A506" s="8" t="n"/>
      <c r="B506" s="9" t="n"/>
      <c r="C506" s="10" t="n"/>
      <c r="D506" s="10" t="n"/>
      <c r="E506" s="10">
        <f>N(C506)-N(D506)</f>
        <v/>
      </c>
      <c r="F506" s="9">
        <f>IF(E506=0,"",TEXT(ABS(E506),"0.00")&amp;"|"&amp;IF(E506&gt;0,"AR","AP"))</f>
        <v/>
      </c>
      <c r="G506" s="9">
        <f>IF(F506="","",COUNTIF(Ledger!$H:$H,F506))</f>
        <v/>
      </c>
      <c r="H506" s="9">
        <f>IF(F506="","",IF(COUNTIF($F:$F,F506)&gt;1,"REVIEW - same amount appears twice",IF(G506=0,"UNMATCHED - no ledger entry",IF(G506&gt;1,"REVIEW - matches several ledger entries","Matched"))))</f>
        <v/>
      </c>
    </row>
    <row r="507">
      <c r="A507" s="8" t="n"/>
      <c r="B507" s="9" t="n"/>
      <c r="C507" s="10" t="n"/>
      <c r="D507" s="10" t="n"/>
      <c r="E507" s="10">
        <f>N(C507)-N(D507)</f>
        <v/>
      </c>
      <c r="F507" s="9">
        <f>IF(E507=0,"",TEXT(ABS(E507),"0.00")&amp;"|"&amp;IF(E507&gt;0,"AR","AP"))</f>
        <v/>
      </c>
      <c r="G507" s="9">
        <f>IF(F507="","",COUNTIF(Ledger!$H:$H,F507))</f>
        <v/>
      </c>
      <c r="H507" s="9">
        <f>IF(F507="","",IF(COUNTIF($F:$F,F507)&gt;1,"REVIEW - same amount appears twice",IF(G507=0,"UNMATCHED - no ledger entry",IF(G507&gt;1,"REVIEW - matches several ledger entries","Matched"))))</f>
        <v/>
      </c>
    </row>
    <row r="508">
      <c r="A508" s="8" t="n"/>
      <c r="B508" s="9" t="n"/>
      <c r="C508" s="10" t="n"/>
      <c r="D508" s="10" t="n"/>
      <c r="E508" s="10">
        <f>N(C508)-N(D508)</f>
        <v/>
      </c>
      <c r="F508" s="9">
        <f>IF(E508=0,"",TEXT(ABS(E508),"0.00")&amp;"|"&amp;IF(E508&gt;0,"AR","AP"))</f>
        <v/>
      </c>
      <c r="G508" s="9">
        <f>IF(F508="","",COUNTIF(Ledger!$H:$H,F508))</f>
        <v/>
      </c>
      <c r="H508" s="9">
        <f>IF(F508="","",IF(COUNTIF($F:$F,F508)&gt;1,"REVIEW - same amount appears twice",IF(G508=0,"UNMATCHED - no ledger entry",IF(G508&gt;1,"REVIEW - matches several ledger entries","Matched"))))</f>
        <v/>
      </c>
    </row>
    <row r="509">
      <c r="A509" s="8" t="n"/>
      <c r="B509" s="9" t="n"/>
      <c r="C509" s="10" t="n"/>
      <c r="D509" s="10" t="n"/>
      <c r="E509" s="10">
        <f>N(C509)-N(D509)</f>
        <v/>
      </c>
      <c r="F509" s="9">
        <f>IF(E509=0,"",TEXT(ABS(E509),"0.00")&amp;"|"&amp;IF(E509&gt;0,"AR","AP"))</f>
        <v/>
      </c>
      <c r="G509" s="9">
        <f>IF(F509="","",COUNTIF(Ledger!$H:$H,F509))</f>
        <v/>
      </c>
      <c r="H509" s="9">
        <f>IF(F509="","",IF(COUNTIF($F:$F,F509)&gt;1,"REVIEW - same amount appears twice",IF(G509=0,"UNMATCHED - no ledger entry",IF(G509&gt;1,"REVIEW - matches several ledger entries","Matched"))))</f>
        <v/>
      </c>
    </row>
    <row r="510">
      <c r="A510" s="8" t="n"/>
      <c r="B510" s="9" t="n"/>
      <c r="C510" s="10" t="n"/>
      <c r="D510" s="10" t="n"/>
      <c r="E510" s="10">
        <f>N(C510)-N(D510)</f>
        <v/>
      </c>
      <c r="F510" s="9">
        <f>IF(E510=0,"",TEXT(ABS(E510),"0.00")&amp;"|"&amp;IF(E510&gt;0,"AR","AP"))</f>
        <v/>
      </c>
      <c r="G510" s="9">
        <f>IF(F510="","",COUNTIF(Ledger!$H:$H,F510))</f>
        <v/>
      </c>
      <c r="H510" s="9">
        <f>IF(F510="","",IF(COUNTIF($F:$F,F510)&gt;1,"REVIEW - same amount appears twice",IF(G510=0,"UNMATCHED - no ledger entry",IF(G510&gt;1,"REVIEW - matches several ledger entries","Matched"))))</f>
        <v/>
      </c>
    </row>
    <row r="511">
      <c r="A511" s="8" t="n"/>
      <c r="B511" s="9" t="n"/>
      <c r="C511" s="10" t="n"/>
      <c r="D511" s="10" t="n"/>
      <c r="E511" s="10">
        <f>N(C511)-N(D511)</f>
        <v/>
      </c>
      <c r="F511" s="9">
        <f>IF(E511=0,"",TEXT(ABS(E511),"0.00")&amp;"|"&amp;IF(E511&gt;0,"AR","AP"))</f>
        <v/>
      </c>
      <c r="G511" s="9">
        <f>IF(F511="","",COUNTIF(Ledger!$H:$H,F511))</f>
        <v/>
      </c>
      <c r="H511" s="9">
        <f>IF(F511="","",IF(COUNTIF($F:$F,F511)&gt;1,"REVIEW - same amount appears twice",IF(G511=0,"UNMATCHED - no ledger entry",IF(G511&gt;1,"REVIEW - matches several ledger entries","Matched"))))</f>
        <v/>
      </c>
    </row>
    <row r="512">
      <c r="A512" s="8" t="n"/>
      <c r="B512" s="9" t="n"/>
      <c r="C512" s="10" t="n"/>
      <c r="D512" s="10" t="n"/>
      <c r="E512" s="10">
        <f>N(C512)-N(D512)</f>
        <v/>
      </c>
      <c r="F512" s="9">
        <f>IF(E512=0,"",TEXT(ABS(E512),"0.00")&amp;"|"&amp;IF(E512&gt;0,"AR","AP"))</f>
        <v/>
      </c>
      <c r="G512" s="9">
        <f>IF(F512="","",COUNTIF(Ledger!$H:$H,F512))</f>
        <v/>
      </c>
      <c r="H512" s="9">
        <f>IF(F512="","",IF(COUNTIF($F:$F,F512)&gt;1,"REVIEW - same amount appears twice",IF(G512=0,"UNMATCHED - no ledger entry",IF(G512&gt;1,"REVIEW - matches several ledger entries","Matched"))))</f>
        <v/>
      </c>
    </row>
    <row r="513">
      <c r="A513" s="8" t="n"/>
      <c r="B513" s="9" t="n"/>
      <c r="C513" s="10" t="n"/>
      <c r="D513" s="10" t="n"/>
      <c r="E513" s="10">
        <f>N(C513)-N(D513)</f>
        <v/>
      </c>
      <c r="F513" s="9">
        <f>IF(E513=0,"",TEXT(ABS(E513),"0.00")&amp;"|"&amp;IF(E513&gt;0,"AR","AP"))</f>
        <v/>
      </c>
      <c r="G513" s="9">
        <f>IF(F513="","",COUNTIF(Ledger!$H:$H,F513))</f>
        <v/>
      </c>
      <c r="H513" s="9">
        <f>IF(F513="","",IF(COUNTIF($F:$F,F513)&gt;1,"REVIEW - same amount appears twice",IF(G513=0,"UNMATCHED - no ledger entry",IF(G513&gt;1,"REVIEW - matches several ledger entries","Matched"))))</f>
        <v/>
      </c>
    </row>
    <row r="514">
      <c r="A514" s="8" t="n"/>
      <c r="B514" s="9" t="n"/>
      <c r="C514" s="10" t="n"/>
      <c r="D514" s="10" t="n"/>
      <c r="E514" s="10">
        <f>N(C514)-N(D514)</f>
        <v/>
      </c>
      <c r="F514" s="9">
        <f>IF(E514=0,"",TEXT(ABS(E514),"0.00")&amp;"|"&amp;IF(E514&gt;0,"AR","AP"))</f>
        <v/>
      </c>
      <c r="G514" s="9">
        <f>IF(F514="","",COUNTIF(Ledger!$H:$H,F514))</f>
        <v/>
      </c>
      <c r="H514" s="9">
        <f>IF(F514="","",IF(COUNTIF($F:$F,F514)&gt;1,"REVIEW - same amount appears twice",IF(G514=0,"UNMATCHED - no ledger entry",IF(G514&gt;1,"REVIEW - matches several ledger entries","Matched"))))</f>
        <v/>
      </c>
    </row>
    <row r="515">
      <c r="A515" s="8" t="n"/>
      <c r="B515" s="9" t="n"/>
      <c r="C515" s="10" t="n"/>
      <c r="D515" s="10" t="n"/>
      <c r="E515" s="10">
        <f>N(C515)-N(D515)</f>
        <v/>
      </c>
      <c r="F515" s="9">
        <f>IF(E515=0,"",TEXT(ABS(E515),"0.00")&amp;"|"&amp;IF(E515&gt;0,"AR","AP"))</f>
        <v/>
      </c>
      <c r="G515" s="9">
        <f>IF(F515="","",COUNTIF(Ledger!$H:$H,F515))</f>
        <v/>
      </c>
      <c r="H515" s="9">
        <f>IF(F515="","",IF(COUNTIF($F:$F,F515)&gt;1,"REVIEW - same amount appears twice",IF(G515=0,"UNMATCHED - no ledger entry",IF(G515&gt;1,"REVIEW - matches several ledger entries","Matched"))))</f>
        <v/>
      </c>
    </row>
    <row r="516">
      <c r="A516" s="8" t="n"/>
      <c r="B516" s="9" t="n"/>
      <c r="C516" s="10" t="n"/>
      <c r="D516" s="10" t="n"/>
      <c r="E516" s="10">
        <f>N(C516)-N(D516)</f>
        <v/>
      </c>
      <c r="F516" s="9">
        <f>IF(E516=0,"",TEXT(ABS(E516),"0.00")&amp;"|"&amp;IF(E516&gt;0,"AR","AP"))</f>
        <v/>
      </c>
      <c r="G516" s="9">
        <f>IF(F516="","",COUNTIF(Ledger!$H:$H,F516))</f>
        <v/>
      </c>
      <c r="H516" s="9">
        <f>IF(F516="","",IF(COUNTIF($F:$F,F516)&gt;1,"REVIEW - same amount appears twice",IF(G516=0,"UNMATCHED - no ledger entry",IF(G516&gt;1,"REVIEW - matches several ledger entries","Matched"))))</f>
        <v/>
      </c>
    </row>
    <row r="517">
      <c r="A517" s="8" t="n"/>
      <c r="B517" s="9" t="n"/>
      <c r="C517" s="10" t="n"/>
      <c r="D517" s="10" t="n"/>
      <c r="E517" s="10">
        <f>N(C517)-N(D517)</f>
        <v/>
      </c>
      <c r="F517" s="9">
        <f>IF(E517=0,"",TEXT(ABS(E517),"0.00")&amp;"|"&amp;IF(E517&gt;0,"AR","AP"))</f>
        <v/>
      </c>
      <c r="G517" s="9">
        <f>IF(F517="","",COUNTIF(Ledger!$H:$H,F517))</f>
        <v/>
      </c>
      <c r="H517" s="9">
        <f>IF(F517="","",IF(COUNTIF($F:$F,F517)&gt;1,"REVIEW - same amount appears twice",IF(G517=0,"UNMATCHED - no ledger entry",IF(G517&gt;1,"REVIEW - matches several ledger entries","Matched"))))</f>
        <v/>
      </c>
    </row>
    <row r="518">
      <c r="A518" s="8" t="n"/>
      <c r="B518" s="9" t="n"/>
      <c r="C518" s="10" t="n"/>
      <c r="D518" s="10" t="n"/>
      <c r="E518" s="10">
        <f>N(C518)-N(D518)</f>
        <v/>
      </c>
      <c r="F518" s="9">
        <f>IF(E518=0,"",TEXT(ABS(E518),"0.00")&amp;"|"&amp;IF(E518&gt;0,"AR","AP"))</f>
        <v/>
      </c>
      <c r="G518" s="9">
        <f>IF(F518="","",COUNTIF(Ledger!$H:$H,F518))</f>
        <v/>
      </c>
      <c r="H518" s="9">
        <f>IF(F518="","",IF(COUNTIF($F:$F,F518)&gt;1,"REVIEW - same amount appears twice",IF(G518=0,"UNMATCHED - no ledger entry",IF(G518&gt;1,"REVIEW - matches several ledger entries","Matched"))))</f>
        <v/>
      </c>
    </row>
    <row r="519">
      <c r="A519" s="8" t="n"/>
      <c r="B519" s="9" t="n"/>
      <c r="C519" s="10" t="n"/>
      <c r="D519" s="10" t="n"/>
      <c r="E519" s="10">
        <f>N(C519)-N(D519)</f>
        <v/>
      </c>
      <c r="F519" s="9">
        <f>IF(E519=0,"",TEXT(ABS(E519),"0.00")&amp;"|"&amp;IF(E519&gt;0,"AR","AP"))</f>
        <v/>
      </c>
      <c r="G519" s="9">
        <f>IF(F519="","",COUNTIF(Ledger!$H:$H,F519))</f>
        <v/>
      </c>
      <c r="H519" s="9">
        <f>IF(F519="","",IF(COUNTIF($F:$F,F519)&gt;1,"REVIEW - same amount appears twice",IF(G519=0,"UNMATCHED - no ledger entry",IF(G519&gt;1,"REVIEW - matches several ledger entries","Matched"))))</f>
        <v/>
      </c>
    </row>
    <row r="520">
      <c r="A520" s="8" t="n"/>
      <c r="B520" s="9" t="n"/>
      <c r="C520" s="10" t="n"/>
      <c r="D520" s="10" t="n"/>
      <c r="E520" s="10">
        <f>N(C520)-N(D520)</f>
        <v/>
      </c>
      <c r="F520" s="9">
        <f>IF(E520=0,"",TEXT(ABS(E520),"0.00")&amp;"|"&amp;IF(E520&gt;0,"AR","AP"))</f>
        <v/>
      </c>
      <c r="G520" s="9">
        <f>IF(F520="","",COUNTIF(Ledger!$H:$H,F520))</f>
        <v/>
      </c>
      <c r="H520" s="9">
        <f>IF(F520="","",IF(COUNTIF($F:$F,F520)&gt;1,"REVIEW - same amount appears twice",IF(G520=0,"UNMATCHED - no ledger entry",IF(G520&gt;1,"REVIEW - matches several ledger entries","Matched"))))</f>
        <v/>
      </c>
    </row>
    <row r="521">
      <c r="A521" s="8" t="n"/>
      <c r="B521" s="9" t="n"/>
      <c r="C521" s="10" t="n"/>
      <c r="D521" s="10" t="n"/>
      <c r="E521" s="10">
        <f>N(C521)-N(D521)</f>
        <v/>
      </c>
      <c r="F521" s="9">
        <f>IF(E521=0,"",TEXT(ABS(E521),"0.00")&amp;"|"&amp;IF(E521&gt;0,"AR","AP"))</f>
        <v/>
      </c>
      <c r="G521" s="9">
        <f>IF(F521="","",COUNTIF(Ledger!$H:$H,F521))</f>
        <v/>
      </c>
      <c r="H521" s="9">
        <f>IF(F521="","",IF(COUNTIF($F:$F,F521)&gt;1,"REVIEW - same amount appears twice",IF(G521=0,"UNMATCHED - no ledger entry",IF(G521&gt;1,"REVIEW - matches several ledger entries","Matched"))))</f>
        <v/>
      </c>
    </row>
    <row r="522">
      <c r="A522" s="8" t="n"/>
      <c r="B522" s="9" t="n"/>
      <c r="C522" s="10" t="n"/>
      <c r="D522" s="10" t="n"/>
      <c r="E522" s="10">
        <f>N(C522)-N(D522)</f>
        <v/>
      </c>
      <c r="F522" s="9">
        <f>IF(E522=0,"",TEXT(ABS(E522),"0.00")&amp;"|"&amp;IF(E522&gt;0,"AR","AP"))</f>
        <v/>
      </c>
      <c r="G522" s="9">
        <f>IF(F522="","",COUNTIF(Ledger!$H:$H,F522))</f>
        <v/>
      </c>
      <c r="H522" s="9">
        <f>IF(F522="","",IF(COUNTIF($F:$F,F522)&gt;1,"REVIEW - same amount appears twice",IF(G522=0,"UNMATCHED - no ledger entry",IF(G522&gt;1,"REVIEW - matches several ledger entries","Matched"))))</f>
        <v/>
      </c>
    </row>
    <row r="523">
      <c r="A523" s="8" t="n"/>
      <c r="B523" s="9" t="n"/>
      <c r="C523" s="10" t="n"/>
      <c r="D523" s="10" t="n"/>
      <c r="E523" s="10">
        <f>N(C523)-N(D523)</f>
        <v/>
      </c>
      <c r="F523" s="9">
        <f>IF(E523=0,"",TEXT(ABS(E523),"0.00")&amp;"|"&amp;IF(E523&gt;0,"AR","AP"))</f>
        <v/>
      </c>
      <c r="G523" s="9">
        <f>IF(F523="","",COUNTIF(Ledger!$H:$H,F523))</f>
        <v/>
      </c>
      <c r="H523" s="9">
        <f>IF(F523="","",IF(COUNTIF($F:$F,F523)&gt;1,"REVIEW - same amount appears twice",IF(G523=0,"UNMATCHED - no ledger entry",IF(G523&gt;1,"REVIEW - matches several ledger entries","Matched"))))</f>
        <v/>
      </c>
    </row>
    <row r="524">
      <c r="A524" s="8" t="n"/>
      <c r="B524" s="9" t="n"/>
      <c r="C524" s="10" t="n"/>
      <c r="D524" s="10" t="n"/>
      <c r="E524" s="10">
        <f>N(C524)-N(D524)</f>
        <v/>
      </c>
      <c r="F524" s="9">
        <f>IF(E524=0,"",TEXT(ABS(E524),"0.00")&amp;"|"&amp;IF(E524&gt;0,"AR","AP"))</f>
        <v/>
      </c>
      <c r="G524" s="9">
        <f>IF(F524="","",COUNTIF(Ledger!$H:$H,F524))</f>
        <v/>
      </c>
      <c r="H524" s="9">
        <f>IF(F524="","",IF(COUNTIF($F:$F,F524)&gt;1,"REVIEW - same amount appears twice",IF(G524=0,"UNMATCHED - no ledger entry",IF(G524&gt;1,"REVIEW - matches several ledger entries","Matched"))))</f>
        <v/>
      </c>
    </row>
    <row r="525">
      <c r="A525" s="8" t="n"/>
      <c r="B525" s="9" t="n"/>
      <c r="C525" s="10" t="n"/>
      <c r="D525" s="10" t="n"/>
      <c r="E525" s="10">
        <f>N(C525)-N(D525)</f>
        <v/>
      </c>
      <c r="F525" s="9">
        <f>IF(E525=0,"",TEXT(ABS(E525),"0.00")&amp;"|"&amp;IF(E525&gt;0,"AR","AP"))</f>
        <v/>
      </c>
      <c r="G525" s="9">
        <f>IF(F525="","",COUNTIF(Ledger!$H:$H,F525))</f>
        <v/>
      </c>
      <c r="H525" s="9">
        <f>IF(F525="","",IF(COUNTIF($F:$F,F525)&gt;1,"REVIEW - same amount appears twice",IF(G525=0,"UNMATCHED - no ledger entry",IF(G525&gt;1,"REVIEW - matches several ledger entries","Matched"))))</f>
        <v/>
      </c>
    </row>
    <row r="526">
      <c r="A526" s="8" t="n"/>
      <c r="B526" s="9" t="n"/>
      <c r="C526" s="10" t="n"/>
      <c r="D526" s="10" t="n"/>
      <c r="E526" s="10">
        <f>N(C526)-N(D526)</f>
        <v/>
      </c>
      <c r="F526" s="9">
        <f>IF(E526=0,"",TEXT(ABS(E526),"0.00")&amp;"|"&amp;IF(E526&gt;0,"AR","AP"))</f>
        <v/>
      </c>
      <c r="G526" s="9">
        <f>IF(F526="","",COUNTIF(Ledger!$H:$H,F526))</f>
        <v/>
      </c>
      <c r="H526" s="9">
        <f>IF(F526="","",IF(COUNTIF($F:$F,F526)&gt;1,"REVIEW - same amount appears twice",IF(G526=0,"UNMATCHED - no ledger entry",IF(G526&gt;1,"REVIEW - matches several ledger entries","Matched"))))</f>
        <v/>
      </c>
    </row>
    <row r="527">
      <c r="A527" s="8" t="n"/>
      <c r="B527" s="9" t="n"/>
      <c r="C527" s="10" t="n"/>
      <c r="D527" s="10" t="n"/>
      <c r="E527" s="10">
        <f>N(C527)-N(D527)</f>
        <v/>
      </c>
      <c r="F527" s="9">
        <f>IF(E527=0,"",TEXT(ABS(E527),"0.00")&amp;"|"&amp;IF(E527&gt;0,"AR","AP"))</f>
        <v/>
      </c>
      <c r="G527" s="9">
        <f>IF(F527="","",COUNTIF(Ledger!$H:$H,F527))</f>
        <v/>
      </c>
      <c r="H527" s="9">
        <f>IF(F527="","",IF(COUNTIF($F:$F,F527)&gt;1,"REVIEW - same amount appears twice",IF(G527=0,"UNMATCHED - no ledger entry",IF(G527&gt;1,"REVIEW - matches several ledger entries","Matched"))))</f>
        <v/>
      </c>
    </row>
    <row r="528">
      <c r="A528" s="8" t="n"/>
      <c r="B528" s="9" t="n"/>
      <c r="C528" s="10" t="n"/>
      <c r="D528" s="10" t="n"/>
      <c r="E528" s="10">
        <f>N(C528)-N(D528)</f>
        <v/>
      </c>
      <c r="F528" s="9">
        <f>IF(E528=0,"",TEXT(ABS(E528),"0.00")&amp;"|"&amp;IF(E528&gt;0,"AR","AP"))</f>
        <v/>
      </c>
      <c r="G528" s="9">
        <f>IF(F528="","",COUNTIF(Ledger!$H:$H,F528))</f>
        <v/>
      </c>
      <c r="H528" s="9">
        <f>IF(F528="","",IF(COUNTIF($F:$F,F528)&gt;1,"REVIEW - same amount appears twice",IF(G528=0,"UNMATCHED - no ledger entry",IF(G528&gt;1,"REVIEW - matches several ledger entries","Matched"))))</f>
        <v/>
      </c>
    </row>
    <row r="529">
      <c r="A529" s="8" t="n"/>
      <c r="B529" s="9" t="n"/>
      <c r="C529" s="10" t="n"/>
      <c r="D529" s="10" t="n"/>
      <c r="E529" s="10">
        <f>N(C529)-N(D529)</f>
        <v/>
      </c>
      <c r="F529" s="9">
        <f>IF(E529=0,"",TEXT(ABS(E529),"0.00")&amp;"|"&amp;IF(E529&gt;0,"AR","AP"))</f>
        <v/>
      </c>
      <c r="G529" s="9">
        <f>IF(F529="","",COUNTIF(Ledger!$H:$H,F529))</f>
        <v/>
      </c>
      <c r="H529" s="9">
        <f>IF(F529="","",IF(COUNTIF($F:$F,F529)&gt;1,"REVIEW - same amount appears twice",IF(G529=0,"UNMATCHED - no ledger entry",IF(G529&gt;1,"REVIEW - matches several ledger entries","Matched"))))</f>
        <v/>
      </c>
    </row>
    <row r="530">
      <c r="A530" s="8" t="n"/>
      <c r="B530" s="9" t="n"/>
      <c r="C530" s="10" t="n"/>
      <c r="D530" s="10" t="n"/>
      <c r="E530" s="10">
        <f>N(C530)-N(D530)</f>
        <v/>
      </c>
      <c r="F530" s="9">
        <f>IF(E530=0,"",TEXT(ABS(E530),"0.00")&amp;"|"&amp;IF(E530&gt;0,"AR","AP"))</f>
        <v/>
      </c>
      <c r="G530" s="9">
        <f>IF(F530="","",COUNTIF(Ledger!$H:$H,F530))</f>
        <v/>
      </c>
      <c r="H530" s="9">
        <f>IF(F530="","",IF(COUNTIF($F:$F,F530)&gt;1,"REVIEW - same amount appears twice",IF(G530=0,"UNMATCHED - no ledger entry",IF(G530&gt;1,"REVIEW - matches several ledger entries","Matched"))))</f>
        <v/>
      </c>
    </row>
    <row r="531">
      <c r="A531" s="8" t="n"/>
      <c r="B531" s="9" t="n"/>
      <c r="C531" s="10" t="n"/>
      <c r="D531" s="10" t="n"/>
      <c r="E531" s="10">
        <f>N(C531)-N(D531)</f>
        <v/>
      </c>
      <c r="F531" s="9">
        <f>IF(E531=0,"",TEXT(ABS(E531),"0.00")&amp;"|"&amp;IF(E531&gt;0,"AR","AP"))</f>
        <v/>
      </c>
      <c r="G531" s="9">
        <f>IF(F531="","",COUNTIF(Ledger!$H:$H,F531))</f>
        <v/>
      </c>
      <c r="H531" s="9">
        <f>IF(F531="","",IF(COUNTIF($F:$F,F531)&gt;1,"REVIEW - same amount appears twice",IF(G531=0,"UNMATCHED - no ledger entry",IF(G531&gt;1,"REVIEW - matches several ledger entries","Matched"))))</f>
        <v/>
      </c>
    </row>
    <row r="532">
      <c r="A532" s="8" t="n"/>
      <c r="B532" s="9" t="n"/>
      <c r="C532" s="10" t="n"/>
      <c r="D532" s="10" t="n"/>
      <c r="E532" s="10">
        <f>N(C532)-N(D532)</f>
        <v/>
      </c>
      <c r="F532" s="9">
        <f>IF(E532=0,"",TEXT(ABS(E532),"0.00")&amp;"|"&amp;IF(E532&gt;0,"AR","AP"))</f>
        <v/>
      </c>
      <c r="G532" s="9">
        <f>IF(F532="","",COUNTIF(Ledger!$H:$H,F532))</f>
        <v/>
      </c>
      <c r="H532" s="9">
        <f>IF(F532="","",IF(COUNTIF($F:$F,F532)&gt;1,"REVIEW - same amount appears twice",IF(G532=0,"UNMATCHED - no ledger entry",IF(G532&gt;1,"REVIEW - matches several ledger entries","Matched"))))</f>
        <v/>
      </c>
    </row>
    <row r="533">
      <c r="A533" s="8" t="n"/>
      <c r="B533" s="9" t="n"/>
      <c r="C533" s="10" t="n"/>
      <c r="D533" s="10" t="n"/>
      <c r="E533" s="10">
        <f>N(C533)-N(D533)</f>
        <v/>
      </c>
      <c r="F533" s="9">
        <f>IF(E533=0,"",TEXT(ABS(E533),"0.00")&amp;"|"&amp;IF(E533&gt;0,"AR","AP"))</f>
        <v/>
      </c>
      <c r="G533" s="9">
        <f>IF(F533="","",COUNTIF(Ledger!$H:$H,F533))</f>
        <v/>
      </c>
      <c r="H533" s="9">
        <f>IF(F533="","",IF(COUNTIF($F:$F,F533)&gt;1,"REVIEW - same amount appears twice",IF(G533=0,"UNMATCHED - no ledger entry",IF(G533&gt;1,"REVIEW - matches several ledger entries","Matched"))))</f>
        <v/>
      </c>
    </row>
    <row r="534">
      <c r="A534" s="8" t="n"/>
      <c r="B534" s="9" t="n"/>
      <c r="C534" s="10" t="n"/>
      <c r="D534" s="10" t="n"/>
      <c r="E534" s="10">
        <f>N(C534)-N(D534)</f>
        <v/>
      </c>
      <c r="F534" s="9">
        <f>IF(E534=0,"",TEXT(ABS(E534),"0.00")&amp;"|"&amp;IF(E534&gt;0,"AR","AP"))</f>
        <v/>
      </c>
      <c r="G534" s="9">
        <f>IF(F534="","",COUNTIF(Ledger!$H:$H,F534))</f>
        <v/>
      </c>
      <c r="H534" s="9">
        <f>IF(F534="","",IF(COUNTIF($F:$F,F534)&gt;1,"REVIEW - same amount appears twice",IF(G534=0,"UNMATCHED - no ledger entry",IF(G534&gt;1,"REVIEW - matches several ledger entries","Matched"))))</f>
        <v/>
      </c>
    </row>
    <row r="535">
      <c r="A535" s="8" t="n"/>
      <c r="B535" s="9" t="n"/>
      <c r="C535" s="10" t="n"/>
      <c r="D535" s="10" t="n"/>
      <c r="E535" s="10">
        <f>N(C535)-N(D535)</f>
        <v/>
      </c>
      <c r="F535" s="9">
        <f>IF(E535=0,"",TEXT(ABS(E535),"0.00")&amp;"|"&amp;IF(E535&gt;0,"AR","AP"))</f>
        <v/>
      </c>
      <c r="G535" s="9">
        <f>IF(F535="","",COUNTIF(Ledger!$H:$H,F535))</f>
        <v/>
      </c>
      <c r="H535" s="9">
        <f>IF(F535="","",IF(COUNTIF($F:$F,F535)&gt;1,"REVIEW - same amount appears twice",IF(G535=0,"UNMATCHED - no ledger entry",IF(G535&gt;1,"REVIEW - matches several ledger entries","Matched"))))</f>
        <v/>
      </c>
    </row>
    <row r="536">
      <c r="A536" s="8" t="n"/>
      <c r="B536" s="9" t="n"/>
      <c r="C536" s="10" t="n"/>
      <c r="D536" s="10" t="n"/>
      <c r="E536" s="10">
        <f>N(C536)-N(D536)</f>
        <v/>
      </c>
      <c r="F536" s="9">
        <f>IF(E536=0,"",TEXT(ABS(E536),"0.00")&amp;"|"&amp;IF(E536&gt;0,"AR","AP"))</f>
        <v/>
      </c>
      <c r="G536" s="9">
        <f>IF(F536="","",COUNTIF(Ledger!$H:$H,F536))</f>
        <v/>
      </c>
      <c r="H536" s="9">
        <f>IF(F536="","",IF(COUNTIF($F:$F,F536)&gt;1,"REVIEW - same amount appears twice",IF(G536=0,"UNMATCHED - no ledger entry",IF(G536&gt;1,"REVIEW - matches several ledger entries","Matched"))))</f>
        <v/>
      </c>
    </row>
    <row r="537">
      <c r="A537" s="8" t="n"/>
      <c r="B537" s="9" t="n"/>
      <c r="C537" s="10" t="n"/>
      <c r="D537" s="10" t="n"/>
      <c r="E537" s="10">
        <f>N(C537)-N(D537)</f>
        <v/>
      </c>
      <c r="F537" s="9">
        <f>IF(E537=0,"",TEXT(ABS(E537),"0.00")&amp;"|"&amp;IF(E537&gt;0,"AR","AP"))</f>
        <v/>
      </c>
      <c r="G537" s="9">
        <f>IF(F537="","",COUNTIF(Ledger!$H:$H,F537))</f>
        <v/>
      </c>
      <c r="H537" s="9">
        <f>IF(F537="","",IF(COUNTIF($F:$F,F537)&gt;1,"REVIEW - same amount appears twice",IF(G537=0,"UNMATCHED - no ledger entry",IF(G537&gt;1,"REVIEW - matches several ledger entries","Matched"))))</f>
        <v/>
      </c>
    </row>
    <row r="538">
      <c r="A538" s="8" t="n"/>
      <c r="B538" s="9" t="n"/>
      <c r="C538" s="10" t="n"/>
      <c r="D538" s="10" t="n"/>
      <c r="E538" s="10">
        <f>N(C538)-N(D538)</f>
        <v/>
      </c>
      <c r="F538" s="9">
        <f>IF(E538=0,"",TEXT(ABS(E538),"0.00")&amp;"|"&amp;IF(E538&gt;0,"AR","AP"))</f>
        <v/>
      </c>
      <c r="G538" s="9">
        <f>IF(F538="","",COUNTIF(Ledger!$H:$H,F538))</f>
        <v/>
      </c>
      <c r="H538" s="9">
        <f>IF(F538="","",IF(COUNTIF($F:$F,F538)&gt;1,"REVIEW - same amount appears twice",IF(G538=0,"UNMATCHED - no ledger entry",IF(G538&gt;1,"REVIEW - matches several ledger entries","Matched"))))</f>
        <v/>
      </c>
    </row>
    <row r="539">
      <c r="A539" s="8" t="n"/>
      <c r="B539" s="9" t="n"/>
      <c r="C539" s="10" t="n"/>
      <c r="D539" s="10" t="n"/>
      <c r="E539" s="10">
        <f>N(C539)-N(D539)</f>
        <v/>
      </c>
      <c r="F539" s="9">
        <f>IF(E539=0,"",TEXT(ABS(E539),"0.00")&amp;"|"&amp;IF(E539&gt;0,"AR","AP"))</f>
        <v/>
      </c>
      <c r="G539" s="9">
        <f>IF(F539="","",COUNTIF(Ledger!$H:$H,F539))</f>
        <v/>
      </c>
      <c r="H539" s="9">
        <f>IF(F539="","",IF(COUNTIF($F:$F,F539)&gt;1,"REVIEW - same amount appears twice",IF(G539=0,"UNMATCHED - no ledger entry",IF(G539&gt;1,"REVIEW - matches several ledger entries","Matched"))))</f>
        <v/>
      </c>
    </row>
    <row r="540">
      <c r="A540" s="8" t="n"/>
      <c r="B540" s="9" t="n"/>
      <c r="C540" s="10" t="n"/>
      <c r="D540" s="10" t="n"/>
      <c r="E540" s="10">
        <f>N(C540)-N(D540)</f>
        <v/>
      </c>
      <c r="F540" s="9">
        <f>IF(E540=0,"",TEXT(ABS(E540),"0.00")&amp;"|"&amp;IF(E540&gt;0,"AR","AP"))</f>
        <v/>
      </c>
      <c r="G540" s="9">
        <f>IF(F540="","",COUNTIF(Ledger!$H:$H,F540))</f>
        <v/>
      </c>
      <c r="H540" s="9">
        <f>IF(F540="","",IF(COUNTIF($F:$F,F540)&gt;1,"REVIEW - same amount appears twice",IF(G540=0,"UNMATCHED - no ledger entry",IF(G540&gt;1,"REVIEW - matches several ledger entries","Matched"))))</f>
        <v/>
      </c>
    </row>
    <row r="541">
      <c r="A541" s="8" t="n"/>
      <c r="B541" s="9" t="n"/>
      <c r="C541" s="10" t="n"/>
      <c r="D541" s="10" t="n"/>
      <c r="E541" s="10">
        <f>N(C541)-N(D541)</f>
        <v/>
      </c>
      <c r="F541" s="9">
        <f>IF(E541=0,"",TEXT(ABS(E541),"0.00")&amp;"|"&amp;IF(E541&gt;0,"AR","AP"))</f>
        <v/>
      </c>
      <c r="G541" s="9">
        <f>IF(F541="","",COUNTIF(Ledger!$H:$H,F541))</f>
        <v/>
      </c>
      <c r="H541" s="9">
        <f>IF(F541="","",IF(COUNTIF($F:$F,F541)&gt;1,"REVIEW - same amount appears twice",IF(G541=0,"UNMATCHED - no ledger entry",IF(G541&gt;1,"REVIEW - matches several ledger entries","Matched"))))</f>
        <v/>
      </c>
    </row>
    <row r="542">
      <c r="A542" s="8" t="n"/>
      <c r="B542" s="9" t="n"/>
      <c r="C542" s="10" t="n"/>
      <c r="D542" s="10" t="n"/>
      <c r="E542" s="10">
        <f>N(C542)-N(D542)</f>
        <v/>
      </c>
      <c r="F542" s="9">
        <f>IF(E542=0,"",TEXT(ABS(E542),"0.00")&amp;"|"&amp;IF(E542&gt;0,"AR","AP"))</f>
        <v/>
      </c>
      <c r="G542" s="9">
        <f>IF(F542="","",COUNTIF(Ledger!$H:$H,F542))</f>
        <v/>
      </c>
      <c r="H542" s="9">
        <f>IF(F542="","",IF(COUNTIF($F:$F,F542)&gt;1,"REVIEW - same amount appears twice",IF(G542=0,"UNMATCHED - no ledger entry",IF(G542&gt;1,"REVIEW - matches several ledger entries","Matched"))))</f>
        <v/>
      </c>
    </row>
    <row r="543">
      <c r="A543" s="8" t="n"/>
      <c r="B543" s="9" t="n"/>
      <c r="C543" s="10" t="n"/>
      <c r="D543" s="10" t="n"/>
      <c r="E543" s="10">
        <f>N(C543)-N(D543)</f>
        <v/>
      </c>
      <c r="F543" s="9">
        <f>IF(E543=0,"",TEXT(ABS(E543),"0.00")&amp;"|"&amp;IF(E543&gt;0,"AR","AP"))</f>
        <v/>
      </c>
      <c r="G543" s="9">
        <f>IF(F543="","",COUNTIF(Ledger!$H:$H,F543))</f>
        <v/>
      </c>
      <c r="H543" s="9">
        <f>IF(F543="","",IF(COUNTIF($F:$F,F543)&gt;1,"REVIEW - same amount appears twice",IF(G543=0,"UNMATCHED - no ledger entry",IF(G543&gt;1,"REVIEW - matches several ledger entries","Matched"))))</f>
        <v/>
      </c>
    </row>
    <row r="544">
      <c r="A544" s="8" t="n"/>
      <c r="B544" s="9" t="n"/>
      <c r="C544" s="10" t="n"/>
      <c r="D544" s="10" t="n"/>
      <c r="E544" s="10">
        <f>N(C544)-N(D544)</f>
        <v/>
      </c>
      <c r="F544" s="9">
        <f>IF(E544=0,"",TEXT(ABS(E544),"0.00")&amp;"|"&amp;IF(E544&gt;0,"AR","AP"))</f>
        <v/>
      </c>
      <c r="G544" s="9">
        <f>IF(F544="","",COUNTIF(Ledger!$H:$H,F544))</f>
        <v/>
      </c>
      <c r="H544" s="9">
        <f>IF(F544="","",IF(COUNTIF($F:$F,F544)&gt;1,"REVIEW - same amount appears twice",IF(G544=0,"UNMATCHED - no ledger entry",IF(G544&gt;1,"REVIEW - matches several ledger entries","Matched"))))</f>
        <v/>
      </c>
    </row>
    <row r="545">
      <c r="A545" s="8" t="n"/>
      <c r="B545" s="9" t="n"/>
      <c r="C545" s="10" t="n"/>
      <c r="D545" s="10" t="n"/>
      <c r="E545" s="10">
        <f>N(C545)-N(D545)</f>
        <v/>
      </c>
      <c r="F545" s="9">
        <f>IF(E545=0,"",TEXT(ABS(E545),"0.00")&amp;"|"&amp;IF(E545&gt;0,"AR","AP"))</f>
        <v/>
      </c>
      <c r="G545" s="9">
        <f>IF(F545="","",COUNTIF(Ledger!$H:$H,F545))</f>
        <v/>
      </c>
      <c r="H545" s="9">
        <f>IF(F545="","",IF(COUNTIF($F:$F,F545)&gt;1,"REVIEW - same amount appears twice",IF(G545=0,"UNMATCHED - no ledger entry",IF(G545&gt;1,"REVIEW - matches several ledger entries","Matched"))))</f>
        <v/>
      </c>
    </row>
    <row r="546">
      <c r="A546" s="8" t="n"/>
      <c r="B546" s="9" t="n"/>
      <c r="C546" s="10" t="n"/>
      <c r="D546" s="10" t="n"/>
      <c r="E546" s="10">
        <f>N(C546)-N(D546)</f>
        <v/>
      </c>
      <c r="F546" s="9">
        <f>IF(E546=0,"",TEXT(ABS(E546),"0.00")&amp;"|"&amp;IF(E546&gt;0,"AR","AP"))</f>
        <v/>
      </c>
      <c r="G546" s="9">
        <f>IF(F546="","",COUNTIF(Ledger!$H:$H,F546))</f>
        <v/>
      </c>
      <c r="H546" s="9">
        <f>IF(F546="","",IF(COUNTIF($F:$F,F546)&gt;1,"REVIEW - same amount appears twice",IF(G546=0,"UNMATCHED - no ledger entry",IF(G546&gt;1,"REVIEW - matches several ledger entries","Matched"))))</f>
        <v/>
      </c>
    </row>
    <row r="547">
      <c r="A547" s="8" t="n"/>
      <c r="B547" s="9" t="n"/>
      <c r="C547" s="10" t="n"/>
      <c r="D547" s="10" t="n"/>
      <c r="E547" s="10">
        <f>N(C547)-N(D547)</f>
        <v/>
      </c>
      <c r="F547" s="9">
        <f>IF(E547=0,"",TEXT(ABS(E547),"0.00")&amp;"|"&amp;IF(E547&gt;0,"AR","AP"))</f>
        <v/>
      </c>
      <c r="G547" s="9">
        <f>IF(F547="","",COUNTIF(Ledger!$H:$H,F547))</f>
        <v/>
      </c>
      <c r="H547" s="9">
        <f>IF(F547="","",IF(COUNTIF($F:$F,F547)&gt;1,"REVIEW - same amount appears twice",IF(G547=0,"UNMATCHED - no ledger entry",IF(G547&gt;1,"REVIEW - matches several ledger entries","Matched"))))</f>
        <v/>
      </c>
    </row>
    <row r="548">
      <c r="A548" s="8" t="n"/>
      <c r="B548" s="9" t="n"/>
      <c r="C548" s="10" t="n"/>
      <c r="D548" s="10" t="n"/>
      <c r="E548" s="10">
        <f>N(C548)-N(D548)</f>
        <v/>
      </c>
      <c r="F548" s="9">
        <f>IF(E548=0,"",TEXT(ABS(E548),"0.00")&amp;"|"&amp;IF(E548&gt;0,"AR","AP"))</f>
        <v/>
      </c>
      <c r="G548" s="9">
        <f>IF(F548="","",COUNTIF(Ledger!$H:$H,F548))</f>
        <v/>
      </c>
      <c r="H548" s="9">
        <f>IF(F548="","",IF(COUNTIF($F:$F,F548)&gt;1,"REVIEW - same amount appears twice",IF(G548=0,"UNMATCHED - no ledger entry",IF(G548&gt;1,"REVIEW - matches several ledger entries","Matched"))))</f>
        <v/>
      </c>
    </row>
    <row r="549">
      <c r="A549" s="8" t="n"/>
      <c r="B549" s="9" t="n"/>
      <c r="C549" s="10" t="n"/>
      <c r="D549" s="10" t="n"/>
      <c r="E549" s="10">
        <f>N(C549)-N(D549)</f>
        <v/>
      </c>
      <c r="F549" s="9">
        <f>IF(E549=0,"",TEXT(ABS(E549),"0.00")&amp;"|"&amp;IF(E549&gt;0,"AR","AP"))</f>
        <v/>
      </c>
      <c r="G549" s="9">
        <f>IF(F549="","",COUNTIF(Ledger!$H:$H,F549))</f>
        <v/>
      </c>
      <c r="H549" s="9">
        <f>IF(F549="","",IF(COUNTIF($F:$F,F549)&gt;1,"REVIEW - same amount appears twice",IF(G549=0,"UNMATCHED - no ledger entry",IF(G549&gt;1,"REVIEW - matches several ledger entries","Matched"))))</f>
        <v/>
      </c>
    </row>
    <row r="550">
      <c r="A550" s="8" t="n"/>
      <c r="B550" s="9" t="n"/>
      <c r="C550" s="10" t="n"/>
      <c r="D550" s="10" t="n"/>
      <c r="E550" s="10">
        <f>N(C550)-N(D550)</f>
        <v/>
      </c>
      <c r="F550" s="9">
        <f>IF(E550=0,"",TEXT(ABS(E550),"0.00")&amp;"|"&amp;IF(E550&gt;0,"AR","AP"))</f>
        <v/>
      </c>
      <c r="G550" s="9">
        <f>IF(F550="","",COUNTIF(Ledger!$H:$H,F550))</f>
        <v/>
      </c>
      <c r="H550" s="9">
        <f>IF(F550="","",IF(COUNTIF($F:$F,F550)&gt;1,"REVIEW - same amount appears twice",IF(G550=0,"UNMATCHED - no ledger entry",IF(G550&gt;1,"REVIEW - matches several ledger entries","Matched"))))</f>
        <v/>
      </c>
    </row>
    <row r="551">
      <c r="A551" s="8" t="n"/>
      <c r="B551" s="9" t="n"/>
      <c r="C551" s="10" t="n"/>
      <c r="D551" s="10" t="n"/>
      <c r="E551" s="10">
        <f>N(C551)-N(D551)</f>
        <v/>
      </c>
      <c r="F551" s="9">
        <f>IF(E551=0,"",TEXT(ABS(E551),"0.00")&amp;"|"&amp;IF(E551&gt;0,"AR","AP"))</f>
        <v/>
      </c>
      <c r="G551" s="9">
        <f>IF(F551="","",COUNTIF(Ledger!$H:$H,F551))</f>
        <v/>
      </c>
      <c r="H551" s="9">
        <f>IF(F551="","",IF(COUNTIF($F:$F,F551)&gt;1,"REVIEW - same amount appears twice",IF(G551=0,"UNMATCHED - no ledger entry",IF(G551&gt;1,"REVIEW - matches several ledger entries","Matched"))))</f>
        <v/>
      </c>
    </row>
    <row r="552">
      <c r="A552" s="8" t="n"/>
      <c r="B552" s="9" t="n"/>
      <c r="C552" s="10" t="n"/>
      <c r="D552" s="10" t="n"/>
      <c r="E552" s="10">
        <f>N(C552)-N(D552)</f>
        <v/>
      </c>
      <c r="F552" s="9">
        <f>IF(E552=0,"",TEXT(ABS(E552),"0.00")&amp;"|"&amp;IF(E552&gt;0,"AR","AP"))</f>
        <v/>
      </c>
      <c r="G552" s="9">
        <f>IF(F552="","",COUNTIF(Ledger!$H:$H,F552))</f>
        <v/>
      </c>
      <c r="H552" s="9">
        <f>IF(F552="","",IF(COUNTIF($F:$F,F552)&gt;1,"REVIEW - same amount appears twice",IF(G552=0,"UNMATCHED - no ledger entry",IF(G552&gt;1,"REVIEW - matches several ledger entries","Matched"))))</f>
        <v/>
      </c>
    </row>
    <row r="553">
      <c r="A553" s="8" t="n"/>
      <c r="B553" s="9" t="n"/>
      <c r="C553" s="10" t="n"/>
      <c r="D553" s="10" t="n"/>
      <c r="E553" s="10">
        <f>N(C553)-N(D553)</f>
        <v/>
      </c>
      <c r="F553" s="9">
        <f>IF(E553=0,"",TEXT(ABS(E553),"0.00")&amp;"|"&amp;IF(E553&gt;0,"AR","AP"))</f>
        <v/>
      </c>
      <c r="G553" s="9">
        <f>IF(F553="","",COUNTIF(Ledger!$H:$H,F553))</f>
        <v/>
      </c>
      <c r="H553" s="9">
        <f>IF(F553="","",IF(COUNTIF($F:$F,F553)&gt;1,"REVIEW - same amount appears twice",IF(G553=0,"UNMATCHED - no ledger entry",IF(G553&gt;1,"REVIEW - matches several ledger entries","Matched"))))</f>
        <v/>
      </c>
    </row>
    <row r="554">
      <c r="A554" s="8" t="n"/>
      <c r="B554" s="9" t="n"/>
      <c r="C554" s="10" t="n"/>
      <c r="D554" s="10" t="n"/>
      <c r="E554" s="10">
        <f>N(C554)-N(D554)</f>
        <v/>
      </c>
      <c r="F554" s="9">
        <f>IF(E554=0,"",TEXT(ABS(E554),"0.00")&amp;"|"&amp;IF(E554&gt;0,"AR","AP"))</f>
        <v/>
      </c>
      <c r="G554" s="9">
        <f>IF(F554="","",COUNTIF(Ledger!$H:$H,F554))</f>
        <v/>
      </c>
      <c r="H554" s="9">
        <f>IF(F554="","",IF(COUNTIF($F:$F,F554)&gt;1,"REVIEW - same amount appears twice",IF(G554=0,"UNMATCHED - no ledger entry",IF(G554&gt;1,"REVIEW - matches several ledger entries","Matched"))))</f>
        <v/>
      </c>
    </row>
    <row r="555">
      <c r="A555" s="8" t="n"/>
      <c r="B555" s="9" t="n"/>
      <c r="C555" s="10" t="n"/>
      <c r="D555" s="10" t="n"/>
      <c r="E555" s="10">
        <f>N(C555)-N(D555)</f>
        <v/>
      </c>
      <c r="F555" s="9">
        <f>IF(E555=0,"",TEXT(ABS(E555),"0.00")&amp;"|"&amp;IF(E555&gt;0,"AR","AP"))</f>
        <v/>
      </c>
      <c r="G555" s="9">
        <f>IF(F555="","",COUNTIF(Ledger!$H:$H,F555))</f>
        <v/>
      </c>
      <c r="H555" s="9">
        <f>IF(F555="","",IF(COUNTIF($F:$F,F555)&gt;1,"REVIEW - same amount appears twice",IF(G555=0,"UNMATCHED - no ledger entry",IF(G555&gt;1,"REVIEW - matches several ledger entries","Matched"))))</f>
        <v/>
      </c>
    </row>
    <row r="556">
      <c r="A556" s="8" t="n"/>
      <c r="B556" s="9" t="n"/>
      <c r="C556" s="10" t="n"/>
      <c r="D556" s="10" t="n"/>
      <c r="E556" s="10">
        <f>N(C556)-N(D556)</f>
        <v/>
      </c>
      <c r="F556" s="9">
        <f>IF(E556=0,"",TEXT(ABS(E556),"0.00")&amp;"|"&amp;IF(E556&gt;0,"AR","AP"))</f>
        <v/>
      </c>
      <c r="G556" s="9">
        <f>IF(F556="","",COUNTIF(Ledger!$H:$H,F556))</f>
        <v/>
      </c>
      <c r="H556" s="9">
        <f>IF(F556="","",IF(COUNTIF($F:$F,F556)&gt;1,"REVIEW - same amount appears twice",IF(G556=0,"UNMATCHED - no ledger entry",IF(G556&gt;1,"REVIEW - matches several ledger entries","Matched"))))</f>
        <v/>
      </c>
    </row>
    <row r="557">
      <c r="A557" s="8" t="n"/>
      <c r="B557" s="9" t="n"/>
      <c r="C557" s="10" t="n"/>
      <c r="D557" s="10" t="n"/>
      <c r="E557" s="10">
        <f>N(C557)-N(D557)</f>
        <v/>
      </c>
      <c r="F557" s="9">
        <f>IF(E557=0,"",TEXT(ABS(E557),"0.00")&amp;"|"&amp;IF(E557&gt;0,"AR","AP"))</f>
        <v/>
      </c>
      <c r="G557" s="9">
        <f>IF(F557="","",COUNTIF(Ledger!$H:$H,F557))</f>
        <v/>
      </c>
      <c r="H557" s="9">
        <f>IF(F557="","",IF(COUNTIF($F:$F,F557)&gt;1,"REVIEW - same amount appears twice",IF(G557=0,"UNMATCHED - no ledger entry",IF(G557&gt;1,"REVIEW - matches several ledger entries","Matched"))))</f>
        <v/>
      </c>
    </row>
    <row r="558">
      <c r="A558" s="8" t="n"/>
      <c r="B558" s="9" t="n"/>
      <c r="C558" s="10" t="n"/>
      <c r="D558" s="10" t="n"/>
      <c r="E558" s="10">
        <f>N(C558)-N(D558)</f>
        <v/>
      </c>
      <c r="F558" s="9">
        <f>IF(E558=0,"",TEXT(ABS(E558),"0.00")&amp;"|"&amp;IF(E558&gt;0,"AR","AP"))</f>
        <v/>
      </c>
      <c r="G558" s="9">
        <f>IF(F558="","",COUNTIF(Ledger!$H:$H,F558))</f>
        <v/>
      </c>
      <c r="H558" s="9">
        <f>IF(F558="","",IF(COUNTIF($F:$F,F558)&gt;1,"REVIEW - same amount appears twice",IF(G558=0,"UNMATCHED - no ledger entry",IF(G558&gt;1,"REVIEW - matches several ledger entries","Matched"))))</f>
        <v/>
      </c>
    </row>
    <row r="559">
      <c r="A559" s="8" t="n"/>
      <c r="B559" s="9" t="n"/>
      <c r="C559" s="10" t="n"/>
      <c r="D559" s="10" t="n"/>
      <c r="E559" s="10">
        <f>N(C559)-N(D559)</f>
        <v/>
      </c>
      <c r="F559" s="9">
        <f>IF(E559=0,"",TEXT(ABS(E559),"0.00")&amp;"|"&amp;IF(E559&gt;0,"AR","AP"))</f>
        <v/>
      </c>
      <c r="G559" s="9">
        <f>IF(F559="","",COUNTIF(Ledger!$H:$H,F559))</f>
        <v/>
      </c>
      <c r="H559" s="9">
        <f>IF(F559="","",IF(COUNTIF($F:$F,F559)&gt;1,"REVIEW - same amount appears twice",IF(G559=0,"UNMATCHED - no ledger entry",IF(G559&gt;1,"REVIEW - matches several ledger entries","Matched"))))</f>
        <v/>
      </c>
    </row>
    <row r="560">
      <c r="A560" s="8" t="n"/>
      <c r="B560" s="9" t="n"/>
      <c r="C560" s="10" t="n"/>
      <c r="D560" s="10" t="n"/>
      <c r="E560" s="10">
        <f>N(C560)-N(D560)</f>
        <v/>
      </c>
      <c r="F560" s="9">
        <f>IF(E560=0,"",TEXT(ABS(E560),"0.00")&amp;"|"&amp;IF(E560&gt;0,"AR","AP"))</f>
        <v/>
      </c>
      <c r="G560" s="9">
        <f>IF(F560="","",COUNTIF(Ledger!$H:$H,F560))</f>
        <v/>
      </c>
      <c r="H560" s="9">
        <f>IF(F560="","",IF(COUNTIF($F:$F,F560)&gt;1,"REVIEW - same amount appears twice",IF(G560=0,"UNMATCHED - no ledger entry",IF(G560&gt;1,"REVIEW - matches several ledger entries","Matched"))))</f>
        <v/>
      </c>
    </row>
    <row r="561">
      <c r="A561" s="8" t="n"/>
      <c r="B561" s="9" t="n"/>
      <c r="C561" s="10" t="n"/>
      <c r="D561" s="10" t="n"/>
      <c r="E561" s="10">
        <f>N(C561)-N(D561)</f>
        <v/>
      </c>
      <c r="F561" s="9">
        <f>IF(E561=0,"",TEXT(ABS(E561),"0.00")&amp;"|"&amp;IF(E561&gt;0,"AR","AP"))</f>
        <v/>
      </c>
      <c r="G561" s="9">
        <f>IF(F561="","",COUNTIF(Ledger!$H:$H,F561))</f>
        <v/>
      </c>
      <c r="H561" s="9">
        <f>IF(F561="","",IF(COUNTIF($F:$F,F561)&gt;1,"REVIEW - same amount appears twice",IF(G561=0,"UNMATCHED - no ledger entry",IF(G561&gt;1,"REVIEW - matches several ledger entries","Matched"))))</f>
        <v/>
      </c>
    </row>
    <row r="562">
      <c r="A562" s="8" t="n"/>
      <c r="B562" s="9" t="n"/>
      <c r="C562" s="10" t="n"/>
      <c r="D562" s="10" t="n"/>
      <c r="E562" s="10">
        <f>N(C562)-N(D562)</f>
        <v/>
      </c>
      <c r="F562" s="9">
        <f>IF(E562=0,"",TEXT(ABS(E562),"0.00")&amp;"|"&amp;IF(E562&gt;0,"AR","AP"))</f>
        <v/>
      </c>
      <c r="G562" s="9">
        <f>IF(F562="","",COUNTIF(Ledger!$H:$H,F562))</f>
        <v/>
      </c>
      <c r="H562" s="9">
        <f>IF(F562="","",IF(COUNTIF($F:$F,F562)&gt;1,"REVIEW - same amount appears twice",IF(G562=0,"UNMATCHED - no ledger entry",IF(G562&gt;1,"REVIEW - matches several ledger entries","Matched"))))</f>
        <v/>
      </c>
    </row>
    <row r="563">
      <c r="A563" s="8" t="n"/>
      <c r="B563" s="9" t="n"/>
      <c r="C563" s="10" t="n"/>
      <c r="D563" s="10" t="n"/>
      <c r="E563" s="10">
        <f>N(C563)-N(D563)</f>
        <v/>
      </c>
      <c r="F563" s="9">
        <f>IF(E563=0,"",TEXT(ABS(E563),"0.00")&amp;"|"&amp;IF(E563&gt;0,"AR","AP"))</f>
        <v/>
      </c>
      <c r="G563" s="9">
        <f>IF(F563="","",COUNTIF(Ledger!$H:$H,F563))</f>
        <v/>
      </c>
      <c r="H563" s="9">
        <f>IF(F563="","",IF(COUNTIF($F:$F,F563)&gt;1,"REVIEW - same amount appears twice",IF(G563=0,"UNMATCHED - no ledger entry",IF(G563&gt;1,"REVIEW - matches several ledger entries","Matched"))))</f>
        <v/>
      </c>
    </row>
    <row r="564">
      <c r="A564" s="8" t="n"/>
      <c r="B564" s="9" t="n"/>
      <c r="C564" s="10" t="n"/>
      <c r="D564" s="10" t="n"/>
      <c r="E564" s="10">
        <f>N(C564)-N(D564)</f>
        <v/>
      </c>
      <c r="F564" s="9">
        <f>IF(E564=0,"",TEXT(ABS(E564),"0.00")&amp;"|"&amp;IF(E564&gt;0,"AR","AP"))</f>
        <v/>
      </c>
      <c r="G564" s="9">
        <f>IF(F564="","",COUNTIF(Ledger!$H:$H,F564))</f>
        <v/>
      </c>
      <c r="H564" s="9">
        <f>IF(F564="","",IF(COUNTIF($F:$F,F564)&gt;1,"REVIEW - same amount appears twice",IF(G564=0,"UNMATCHED - no ledger entry",IF(G564&gt;1,"REVIEW - matches several ledger entries","Matched"))))</f>
        <v/>
      </c>
    </row>
    <row r="565">
      <c r="A565" s="8" t="n"/>
      <c r="B565" s="9" t="n"/>
      <c r="C565" s="10" t="n"/>
      <c r="D565" s="10" t="n"/>
      <c r="E565" s="10">
        <f>N(C565)-N(D565)</f>
        <v/>
      </c>
      <c r="F565" s="9">
        <f>IF(E565=0,"",TEXT(ABS(E565),"0.00")&amp;"|"&amp;IF(E565&gt;0,"AR","AP"))</f>
        <v/>
      </c>
      <c r="G565" s="9">
        <f>IF(F565="","",COUNTIF(Ledger!$H:$H,F565))</f>
        <v/>
      </c>
      <c r="H565" s="9">
        <f>IF(F565="","",IF(COUNTIF($F:$F,F565)&gt;1,"REVIEW - same amount appears twice",IF(G565=0,"UNMATCHED - no ledger entry",IF(G565&gt;1,"REVIEW - matches several ledger entries","Matched"))))</f>
        <v/>
      </c>
    </row>
    <row r="566">
      <c r="A566" s="8" t="n"/>
      <c r="B566" s="9" t="n"/>
      <c r="C566" s="10" t="n"/>
      <c r="D566" s="10" t="n"/>
      <c r="E566" s="10">
        <f>N(C566)-N(D566)</f>
        <v/>
      </c>
      <c r="F566" s="9">
        <f>IF(E566=0,"",TEXT(ABS(E566),"0.00")&amp;"|"&amp;IF(E566&gt;0,"AR","AP"))</f>
        <v/>
      </c>
      <c r="G566" s="9">
        <f>IF(F566="","",COUNTIF(Ledger!$H:$H,F566))</f>
        <v/>
      </c>
      <c r="H566" s="9">
        <f>IF(F566="","",IF(COUNTIF($F:$F,F566)&gt;1,"REVIEW - same amount appears twice",IF(G566=0,"UNMATCHED - no ledger entry",IF(G566&gt;1,"REVIEW - matches several ledger entries","Matched"))))</f>
        <v/>
      </c>
    </row>
    <row r="567">
      <c r="A567" s="8" t="n"/>
      <c r="B567" s="9" t="n"/>
      <c r="C567" s="10" t="n"/>
      <c r="D567" s="10" t="n"/>
      <c r="E567" s="10">
        <f>N(C567)-N(D567)</f>
        <v/>
      </c>
      <c r="F567" s="9">
        <f>IF(E567=0,"",TEXT(ABS(E567),"0.00")&amp;"|"&amp;IF(E567&gt;0,"AR","AP"))</f>
        <v/>
      </c>
      <c r="G567" s="9">
        <f>IF(F567="","",COUNTIF(Ledger!$H:$H,F567))</f>
        <v/>
      </c>
      <c r="H567" s="9">
        <f>IF(F567="","",IF(COUNTIF($F:$F,F567)&gt;1,"REVIEW - same amount appears twice",IF(G567=0,"UNMATCHED - no ledger entry",IF(G567&gt;1,"REVIEW - matches several ledger entries","Matched"))))</f>
        <v/>
      </c>
    </row>
    <row r="568">
      <c r="A568" s="8" t="n"/>
      <c r="B568" s="9" t="n"/>
      <c r="C568" s="10" t="n"/>
      <c r="D568" s="10" t="n"/>
      <c r="E568" s="10">
        <f>N(C568)-N(D568)</f>
        <v/>
      </c>
      <c r="F568" s="9">
        <f>IF(E568=0,"",TEXT(ABS(E568),"0.00")&amp;"|"&amp;IF(E568&gt;0,"AR","AP"))</f>
        <v/>
      </c>
      <c r="G568" s="9">
        <f>IF(F568="","",COUNTIF(Ledger!$H:$H,F568))</f>
        <v/>
      </c>
      <c r="H568" s="9">
        <f>IF(F568="","",IF(COUNTIF($F:$F,F568)&gt;1,"REVIEW - same amount appears twice",IF(G568=0,"UNMATCHED - no ledger entry",IF(G568&gt;1,"REVIEW - matches several ledger entries","Matched"))))</f>
        <v/>
      </c>
    </row>
    <row r="569">
      <c r="A569" s="8" t="n"/>
      <c r="B569" s="9" t="n"/>
      <c r="C569" s="10" t="n"/>
      <c r="D569" s="10" t="n"/>
      <c r="E569" s="10">
        <f>N(C569)-N(D569)</f>
        <v/>
      </c>
      <c r="F569" s="9">
        <f>IF(E569=0,"",TEXT(ABS(E569),"0.00")&amp;"|"&amp;IF(E569&gt;0,"AR","AP"))</f>
        <v/>
      </c>
      <c r="G569" s="9">
        <f>IF(F569="","",COUNTIF(Ledger!$H:$H,F569))</f>
        <v/>
      </c>
      <c r="H569" s="9">
        <f>IF(F569="","",IF(COUNTIF($F:$F,F569)&gt;1,"REVIEW - same amount appears twice",IF(G569=0,"UNMATCHED - no ledger entry",IF(G569&gt;1,"REVIEW - matches several ledger entries","Matched"))))</f>
        <v/>
      </c>
    </row>
    <row r="570">
      <c r="A570" s="8" t="n"/>
      <c r="B570" s="9" t="n"/>
      <c r="C570" s="10" t="n"/>
      <c r="D570" s="10" t="n"/>
      <c r="E570" s="10">
        <f>N(C570)-N(D570)</f>
        <v/>
      </c>
      <c r="F570" s="9">
        <f>IF(E570=0,"",TEXT(ABS(E570),"0.00")&amp;"|"&amp;IF(E570&gt;0,"AR","AP"))</f>
        <v/>
      </c>
      <c r="G570" s="9">
        <f>IF(F570="","",COUNTIF(Ledger!$H:$H,F570))</f>
        <v/>
      </c>
      <c r="H570" s="9">
        <f>IF(F570="","",IF(COUNTIF($F:$F,F570)&gt;1,"REVIEW - same amount appears twice",IF(G570=0,"UNMATCHED - no ledger entry",IF(G570&gt;1,"REVIEW - matches several ledger entries","Matched"))))</f>
        <v/>
      </c>
    </row>
    <row r="571">
      <c r="A571" s="8" t="n"/>
      <c r="B571" s="9" t="n"/>
      <c r="C571" s="10" t="n"/>
      <c r="D571" s="10" t="n"/>
      <c r="E571" s="10">
        <f>N(C571)-N(D571)</f>
        <v/>
      </c>
      <c r="F571" s="9">
        <f>IF(E571=0,"",TEXT(ABS(E571),"0.00")&amp;"|"&amp;IF(E571&gt;0,"AR","AP"))</f>
        <v/>
      </c>
      <c r="G571" s="9">
        <f>IF(F571="","",COUNTIF(Ledger!$H:$H,F571))</f>
        <v/>
      </c>
      <c r="H571" s="9">
        <f>IF(F571="","",IF(COUNTIF($F:$F,F571)&gt;1,"REVIEW - same amount appears twice",IF(G571=0,"UNMATCHED - no ledger entry",IF(G571&gt;1,"REVIEW - matches several ledger entries","Matched"))))</f>
        <v/>
      </c>
    </row>
    <row r="572">
      <c r="A572" s="8" t="n"/>
      <c r="B572" s="9" t="n"/>
      <c r="C572" s="10" t="n"/>
      <c r="D572" s="10" t="n"/>
      <c r="E572" s="10">
        <f>N(C572)-N(D572)</f>
        <v/>
      </c>
      <c r="F572" s="9">
        <f>IF(E572=0,"",TEXT(ABS(E572),"0.00")&amp;"|"&amp;IF(E572&gt;0,"AR","AP"))</f>
        <v/>
      </c>
      <c r="G572" s="9">
        <f>IF(F572="","",COUNTIF(Ledger!$H:$H,F572))</f>
        <v/>
      </c>
      <c r="H572" s="9">
        <f>IF(F572="","",IF(COUNTIF($F:$F,F572)&gt;1,"REVIEW - same amount appears twice",IF(G572=0,"UNMATCHED - no ledger entry",IF(G572&gt;1,"REVIEW - matches several ledger entries","Matched"))))</f>
        <v/>
      </c>
    </row>
    <row r="573">
      <c r="A573" s="8" t="n"/>
      <c r="B573" s="9" t="n"/>
      <c r="C573" s="10" t="n"/>
      <c r="D573" s="10" t="n"/>
      <c r="E573" s="10">
        <f>N(C573)-N(D573)</f>
        <v/>
      </c>
      <c r="F573" s="9">
        <f>IF(E573=0,"",TEXT(ABS(E573),"0.00")&amp;"|"&amp;IF(E573&gt;0,"AR","AP"))</f>
        <v/>
      </c>
      <c r="G573" s="9">
        <f>IF(F573="","",COUNTIF(Ledger!$H:$H,F573))</f>
        <v/>
      </c>
      <c r="H573" s="9">
        <f>IF(F573="","",IF(COUNTIF($F:$F,F573)&gt;1,"REVIEW - same amount appears twice",IF(G573=0,"UNMATCHED - no ledger entry",IF(G573&gt;1,"REVIEW - matches several ledger entries","Matched"))))</f>
        <v/>
      </c>
    </row>
    <row r="574">
      <c r="A574" s="8" t="n"/>
      <c r="B574" s="9" t="n"/>
      <c r="C574" s="10" t="n"/>
      <c r="D574" s="10" t="n"/>
      <c r="E574" s="10">
        <f>N(C574)-N(D574)</f>
        <v/>
      </c>
      <c r="F574" s="9">
        <f>IF(E574=0,"",TEXT(ABS(E574),"0.00")&amp;"|"&amp;IF(E574&gt;0,"AR","AP"))</f>
        <v/>
      </c>
      <c r="G574" s="9">
        <f>IF(F574="","",COUNTIF(Ledger!$H:$H,F574))</f>
        <v/>
      </c>
      <c r="H574" s="9">
        <f>IF(F574="","",IF(COUNTIF($F:$F,F574)&gt;1,"REVIEW - same amount appears twice",IF(G574=0,"UNMATCHED - no ledger entry",IF(G574&gt;1,"REVIEW - matches several ledger entries","Matched"))))</f>
        <v/>
      </c>
    </row>
    <row r="575">
      <c r="A575" s="8" t="n"/>
      <c r="B575" s="9" t="n"/>
      <c r="C575" s="10" t="n"/>
      <c r="D575" s="10" t="n"/>
      <c r="E575" s="10">
        <f>N(C575)-N(D575)</f>
        <v/>
      </c>
      <c r="F575" s="9">
        <f>IF(E575=0,"",TEXT(ABS(E575),"0.00")&amp;"|"&amp;IF(E575&gt;0,"AR","AP"))</f>
        <v/>
      </c>
      <c r="G575" s="9">
        <f>IF(F575="","",COUNTIF(Ledger!$H:$H,F575))</f>
        <v/>
      </c>
      <c r="H575" s="9">
        <f>IF(F575="","",IF(COUNTIF($F:$F,F575)&gt;1,"REVIEW - same amount appears twice",IF(G575=0,"UNMATCHED - no ledger entry",IF(G575&gt;1,"REVIEW - matches several ledger entries","Matched"))))</f>
        <v/>
      </c>
    </row>
    <row r="576">
      <c r="A576" s="8" t="n"/>
      <c r="B576" s="9" t="n"/>
      <c r="C576" s="10" t="n"/>
      <c r="D576" s="10" t="n"/>
      <c r="E576" s="10">
        <f>N(C576)-N(D576)</f>
        <v/>
      </c>
      <c r="F576" s="9">
        <f>IF(E576=0,"",TEXT(ABS(E576),"0.00")&amp;"|"&amp;IF(E576&gt;0,"AR","AP"))</f>
        <v/>
      </c>
      <c r="G576" s="9">
        <f>IF(F576="","",COUNTIF(Ledger!$H:$H,F576))</f>
        <v/>
      </c>
      <c r="H576" s="9">
        <f>IF(F576="","",IF(COUNTIF($F:$F,F576)&gt;1,"REVIEW - same amount appears twice",IF(G576=0,"UNMATCHED - no ledger entry",IF(G576&gt;1,"REVIEW - matches several ledger entries","Matched"))))</f>
        <v/>
      </c>
    </row>
    <row r="577">
      <c r="A577" s="8" t="n"/>
      <c r="B577" s="9" t="n"/>
      <c r="C577" s="10" t="n"/>
      <c r="D577" s="10" t="n"/>
      <c r="E577" s="10">
        <f>N(C577)-N(D577)</f>
        <v/>
      </c>
      <c r="F577" s="9">
        <f>IF(E577=0,"",TEXT(ABS(E577),"0.00")&amp;"|"&amp;IF(E577&gt;0,"AR","AP"))</f>
        <v/>
      </c>
      <c r="G577" s="9">
        <f>IF(F577="","",COUNTIF(Ledger!$H:$H,F577))</f>
        <v/>
      </c>
      <c r="H577" s="9">
        <f>IF(F577="","",IF(COUNTIF($F:$F,F577)&gt;1,"REVIEW - same amount appears twice",IF(G577=0,"UNMATCHED - no ledger entry",IF(G577&gt;1,"REVIEW - matches several ledger entries","Matched"))))</f>
        <v/>
      </c>
    </row>
    <row r="578">
      <c r="A578" s="8" t="n"/>
      <c r="B578" s="9" t="n"/>
      <c r="C578" s="10" t="n"/>
      <c r="D578" s="10" t="n"/>
      <c r="E578" s="10">
        <f>N(C578)-N(D578)</f>
        <v/>
      </c>
      <c r="F578" s="9">
        <f>IF(E578=0,"",TEXT(ABS(E578),"0.00")&amp;"|"&amp;IF(E578&gt;0,"AR","AP"))</f>
        <v/>
      </c>
      <c r="G578" s="9">
        <f>IF(F578="","",COUNTIF(Ledger!$H:$H,F578))</f>
        <v/>
      </c>
      <c r="H578" s="9">
        <f>IF(F578="","",IF(COUNTIF($F:$F,F578)&gt;1,"REVIEW - same amount appears twice",IF(G578=0,"UNMATCHED - no ledger entry",IF(G578&gt;1,"REVIEW - matches several ledger entries","Matched"))))</f>
        <v/>
      </c>
    </row>
    <row r="579">
      <c r="A579" s="8" t="n"/>
      <c r="B579" s="9" t="n"/>
      <c r="C579" s="10" t="n"/>
      <c r="D579" s="10" t="n"/>
      <c r="E579" s="10">
        <f>N(C579)-N(D579)</f>
        <v/>
      </c>
      <c r="F579" s="9">
        <f>IF(E579=0,"",TEXT(ABS(E579),"0.00")&amp;"|"&amp;IF(E579&gt;0,"AR","AP"))</f>
        <v/>
      </c>
      <c r="G579" s="9">
        <f>IF(F579="","",COUNTIF(Ledger!$H:$H,F579))</f>
        <v/>
      </c>
      <c r="H579" s="9">
        <f>IF(F579="","",IF(COUNTIF($F:$F,F579)&gt;1,"REVIEW - same amount appears twice",IF(G579=0,"UNMATCHED - no ledger entry",IF(G579&gt;1,"REVIEW - matches several ledger entries","Matched"))))</f>
        <v/>
      </c>
    </row>
    <row r="580">
      <c r="A580" s="8" t="n"/>
      <c r="B580" s="9" t="n"/>
      <c r="C580" s="10" t="n"/>
      <c r="D580" s="10" t="n"/>
      <c r="E580" s="10">
        <f>N(C580)-N(D580)</f>
        <v/>
      </c>
      <c r="F580" s="9">
        <f>IF(E580=0,"",TEXT(ABS(E580),"0.00")&amp;"|"&amp;IF(E580&gt;0,"AR","AP"))</f>
        <v/>
      </c>
      <c r="G580" s="9">
        <f>IF(F580="","",COUNTIF(Ledger!$H:$H,F580))</f>
        <v/>
      </c>
      <c r="H580" s="9">
        <f>IF(F580="","",IF(COUNTIF($F:$F,F580)&gt;1,"REVIEW - same amount appears twice",IF(G580=0,"UNMATCHED - no ledger entry",IF(G580&gt;1,"REVIEW - matches several ledger entries","Matched"))))</f>
        <v/>
      </c>
    </row>
    <row r="581">
      <c r="A581" s="8" t="n"/>
      <c r="B581" s="9" t="n"/>
      <c r="C581" s="10" t="n"/>
      <c r="D581" s="10" t="n"/>
      <c r="E581" s="10">
        <f>N(C581)-N(D581)</f>
        <v/>
      </c>
      <c r="F581" s="9">
        <f>IF(E581=0,"",TEXT(ABS(E581),"0.00")&amp;"|"&amp;IF(E581&gt;0,"AR","AP"))</f>
        <v/>
      </c>
      <c r="G581" s="9">
        <f>IF(F581="","",COUNTIF(Ledger!$H:$H,F581))</f>
        <v/>
      </c>
      <c r="H581" s="9">
        <f>IF(F581="","",IF(COUNTIF($F:$F,F581)&gt;1,"REVIEW - same amount appears twice",IF(G581=0,"UNMATCHED - no ledger entry",IF(G581&gt;1,"REVIEW - matches several ledger entries","Matched"))))</f>
        <v/>
      </c>
    </row>
    <row r="582">
      <c r="A582" s="8" t="n"/>
      <c r="B582" s="9" t="n"/>
      <c r="C582" s="10" t="n"/>
      <c r="D582" s="10" t="n"/>
      <c r="E582" s="10">
        <f>N(C582)-N(D582)</f>
        <v/>
      </c>
      <c r="F582" s="9">
        <f>IF(E582=0,"",TEXT(ABS(E582),"0.00")&amp;"|"&amp;IF(E582&gt;0,"AR","AP"))</f>
        <v/>
      </c>
      <c r="G582" s="9">
        <f>IF(F582="","",COUNTIF(Ledger!$H:$H,F582))</f>
        <v/>
      </c>
      <c r="H582" s="9">
        <f>IF(F582="","",IF(COUNTIF($F:$F,F582)&gt;1,"REVIEW - same amount appears twice",IF(G582=0,"UNMATCHED - no ledger entry",IF(G582&gt;1,"REVIEW - matches several ledger entries","Matched"))))</f>
        <v/>
      </c>
    </row>
    <row r="583">
      <c r="A583" s="8" t="n"/>
      <c r="B583" s="9" t="n"/>
      <c r="C583" s="10" t="n"/>
      <c r="D583" s="10" t="n"/>
      <c r="E583" s="10">
        <f>N(C583)-N(D583)</f>
        <v/>
      </c>
      <c r="F583" s="9">
        <f>IF(E583=0,"",TEXT(ABS(E583),"0.00")&amp;"|"&amp;IF(E583&gt;0,"AR","AP"))</f>
        <v/>
      </c>
      <c r="G583" s="9">
        <f>IF(F583="","",COUNTIF(Ledger!$H:$H,F583))</f>
        <v/>
      </c>
      <c r="H583" s="9">
        <f>IF(F583="","",IF(COUNTIF($F:$F,F583)&gt;1,"REVIEW - same amount appears twice",IF(G583=0,"UNMATCHED - no ledger entry",IF(G583&gt;1,"REVIEW - matches several ledger entries","Matched"))))</f>
        <v/>
      </c>
    </row>
    <row r="584">
      <c r="A584" s="8" t="n"/>
      <c r="B584" s="9" t="n"/>
      <c r="C584" s="10" t="n"/>
      <c r="D584" s="10" t="n"/>
      <c r="E584" s="10">
        <f>N(C584)-N(D584)</f>
        <v/>
      </c>
      <c r="F584" s="9">
        <f>IF(E584=0,"",TEXT(ABS(E584),"0.00")&amp;"|"&amp;IF(E584&gt;0,"AR","AP"))</f>
        <v/>
      </c>
      <c r="G584" s="9">
        <f>IF(F584="","",COUNTIF(Ledger!$H:$H,F584))</f>
        <v/>
      </c>
      <c r="H584" s="9">
        <f>IF(F584="","",IF(COUNTIF($F:$F,F584)&gt;1,"REVIEW - same amount appears twice",IF(G584=0,"UNMATCHED - no ledger entry",IF(G584&gt;1,"REVIEW - matches several ledger entries","Matched"))))</f>
        <v/>
      </c>
    </row>
    <row r="585">
      <c r="A585" s="8" t="n"/>
      <c r="B585" s="9" t="n"/>
      <c r="C585" s="10" t="n"/>
      <c r="D585" s="10" t="n"/>
      <c r="E585" s="10">
        <f>N(C585)-N(D585)</f>
        <v/>
      </c>
      <c r="F585" s="9">
        <f>IF(E585=0,"",TEXT(ABS(E585),"0.00")&amp;"|"&amp;IF(E585&gt;0,"AR","AP"))</f>
        <v/>
      </c>
      <c r="G585" s="9">
        <f>IF(F585="","",COUNTIF(Ledger!$H:$H,F585))</f>
        <v/>
      </c>
      <c r="H585" s="9">
        <f>IF(F585="","",IF(COUNTIF($F:$F,F585)&gt;1,"REVIEW - same amount appears twice",IF(G585=0,"UNMATCHED - no ledger entry",IF(G585&gt;1,"REVIEW - matches several ledger entries","Matched"))))</f>
        <v/>
      </c>
    </row>
    <row r="586">
      <c r="A586" s="8" t="n"/>
      <c r="B586" s="9" t="n"/>
      <c r="C586" s="10" t="n"/>
      <c r="D586" s="10" t="n"/>
      <c r="E586" s="10">
        <f>N(C586)-N(D586)</f>
        <v/>
      </c>
      <c r="F586" s="9">
        <f>IF(E586=0,"",TEXT(ABS(E586),"0.00")&amp;"|"&amp;IF(E586&gt;0,"AR","AP"))</f>
        <v/>
      </c>
      <c r="G586" s="9">
        <f>IF(F586="","",COUNTIF(Ledger!$H:$H,F586))</f>
        <v/>
      </c>
      <c r="H586" s="9">
        <f>IF(F586="","",IF(COUNTIF($F:$F,F586)&gt;1,"REVIEW - same amount appears twice",IF(G586=0,"UNMATCHED - no ledger entry",IF(G586&gt;1,"REVIEW - matches several ledger entries","Matched"))))</f>
        <v/>
      </c>
    </row>
    <row r="587">
      <c r="A587" s="8" t="n"/>
      <c r="B587" s="9" t="n"/>
      <c r="C587" s="10" t="n"/>
      <c r="D587" s="10" t="n"/>
      <c r="E587" s="10">
        <f>N(C587)-N(D587)</f>
        <v/>
      </c>
      <c r="F587" s="9">
        <f>IF(E587=0,"",TEXT(ABS(E587),"0.00")&amp;"|"&amp;IF(E587&gt;0,"AR","AP"))</f>
        <v/>
      </c>
      <c r="G587" s="9">
        <f>IF(F587="","",COUNTIF(Ledger!$H:$H,F587))</f>
        <v/>
      </c>
      <c r="H587" s="9">
        <f>IF(F587="","",IF(COUNTIF($F:$F,F587)&gt;1,"REVIEW - same amount appears twice",IF(G587=0,"UNMATCHED - no ledger entry",IF(G587&gt;1,"REVIEW - matches several ledger entries","Matched"))))</f>
        <v/>
      </c>
    </row>
    <row r="588">
      <c r="A588" s="8" t="n"/>
      <c r="B588" s="9" t="n"/>
      <c r="C588" s="10" t="n"/>
      <c r="D588" s="10" t="n"/>
      <c r="E588" s="10">
        <f>N(C588)-N(D588)</f>
        <v/>
      </c>
      <c r="F588" s="9">
        <f>IF(E588=0,"",TEXT(ABS(E588),"0.00")&amp;"|"&amp;IF(E588&gt;0,"AR","AP"))</f>
        <v/>
      </c>
      <c r="G588" s="9">
        <f>IF(F588="","",COUNTIF(Ledger!$H:$H,F588))</f>
        <v/>
      </c>
      <c r="H588" s="9">
        <f>IF(F588="","",IF(COUNTIF($F:$F,F588)&gt;1,"REVIEW - same amount appears twice",IF(G588=0,"UNMATCHED - no ledger entry",IF(G588&gt;1,"REVIEW - matches several ledger entries","Matched"))))</f>
        <v/>
      </c>
    </row>
    <row r="589">
      <c r="A589" s="8" t="n"/>
      <c r="B589" s="9" t="n"/>
      <c r="C589" s="10" t="n"/>
      <c r="D589" s="10" t="n"/>
      <c r="E589" s="10">
        <f>N(C589)-N(D589)</f>
        <v/>
      </c>
      <c r="F589" s="9">
        <f>IF(E589=0,"",TEXT(ABS(E589),"0.00")&amp;"|"&amp;IF(E589&gt;0,"AR","AP"))</f>
        <v/>
      </c>
      <c r="G589" s="9">
        <f>IF(F589="","",COUNTIF(Ledger!$H:$H,F589))</f>
        <v/>
      </c>
      <c r="H589" s="9">
        <f>IF(F589="","",IF(COUNTIF($F:$F,F589)&gt;1,"REVIEW - same amount appears twice",IF(G589=0,"UNMATCHED - no ledger entry",IF(G589&gt;1,"REVIEW - matches several ledger entries","Matched"))))</f>
        <v/>
      </c>
    </row>
    <row r="590">
      <c r="A590" s="8" t="n"/>
      <c r="B590" s="9" t="n"/>
      <c r="C590" s="10" t="n"/>
      <c r="D590" s="10" t="n"/>
      <c r="E590" s="10">
        <f>N(C590)-N(D590)</f>
        <v/>
      </c>
      <c r="F590" s="9">
        <f>IF(E590=0,"",TEXT(ABS(E590),"0.00")&amp;"|"&amp;IF(E590&gt;0,"AR","AP"))</f>
        <v/>
      </c>
      <c r="G590" s="9">
        <f>IF(F590="","",COUNTIF(Ledger!$H:$H,F590))</f>
        <v/>
      </c>
      <c r="H590" s="9">
        <f>IF(F590="","",IF(COUNTIF($F:$F,F590)&gt;1,"REVIEW - same amount appears twice",IF(G590=0,"UNMATCHED - no ledger entry",IF(G590&gt;1,"REVIEW - matches several ledger entries","Matched"))))</f>
        <v/>
      </c>
    </row>
    <row r="591">
      <c r="A591" s="8" t="n"/>
      <c r="B591" s="9" t="n"/>
      <c r="C591" s="10" t="n"/>
      <c r="D591" s="10" t="n"/>
      <c r="E591" s="10">
        <f>N(C591)-N(D591)</f>
        <v/>
      </c>
      <c r="F591" s="9">
        <f>IF(E591=0,"",TEXT(ABS(E591),"0.00")&amp;"|"&amp;IF(E591&gt;0,"AR","AP"))</f>
        <v/>
      </c>
      <c r="G591" s="9">
        <f>IF(F591="","",COUNTIF(Ledger!$H:$H,F591))</f>
        <v/>
      </c>
      <c r="H591" s="9">
        <f>IF(F591="","",IF(COUNTIF($F:$F,F591)&gt;1,"REVIEW - same amount appears twice",IF(G591=0,"UNMATCHED - no ledger entry",IF(G591&gt;1,"REVIEW - matches several ledger entries","Matched"))))</f>
        <v/>
      </c>
    </row>
    <row r="592">
      <c r="A592" s="8" t="n"/>
      <c r="B592" s="9" t="n"/>
      <c r="C592" s="10" t="n"/>
      <c r="D592" s="10" t="n"/>
      <c r="E592" s="10">
        <f>N(C592)-N(D592)</f>
        <v/>
      </c>
      <c r="F592" s="9">
        <f>IF(E592=0,"",TEXT(ABS(E592),"0.00")&amp;"|"&amp;IF(E592&gt;0,"AR","AP"))</f>
        <v/>
      </c>
      <c r="G592" s="9">
        <f>IF(F592="","",COUNTIF(Ledger!$H:$H,F592))</f>
        <v/>
      </c>
      <c r="H592" s="9">
        <f>IF(F592="","",IF(COUNTIF($F:$F,F592)&gt;1,"REVIEW - same amount appears twice",IF(G592=0,"UNMATCHED - no ledger entry",IF(G592&gt;1,"REVIEW - matches several ledger entries","Matched"))))</f>
        <v/>
      </c>
    </row>
    <row r="593">
      <c r="A593" s="8" t="n"/>
      <c r="B593" s="9" t="n"/>
      <c r="C593" s="10" t="n"/>
      <c r="D593" s="10" t="n"/>
      <c r="E593" s="10">
        <f>N(C593)-N(D593)</f>
        <v/>
      </c>
      <c r="F593" s="9">
        <f>IF(E593=0,"",TEXT(ABS(E593),"0.00")&amp;"|"&amp;IF(E593&gt;0,"AR","AP"))</f>
        <v/>
      </c>
      <c r="G593" s="9">
        <f>IF(F593="","",COUNTIF(Ledger!$H:$H,F593))</f>
        <v/>
      </c>
      <c r="H593" s="9">
        <f>IF(F593="","",IF(COUNTIF($F:$F,F593)&gt;1,"REVIEW - same amount appears twice",IF(G593=0,"UNMATCHED - no ledger entry",IF(G593&gt;1,"REVIEW - matches several ledger entries","Matched"))))</f>
        <v/>
      </c>
    </row>
    <row r="594">
      <c r="A594" s="8" t="n"/>
      <c r="B594" s="9" t="n"/>
      <c r="C594" s="10" t="n"/>
      <c r="D594" s="10" t="n"/>
      <c r="E594" s="10">
        <f>N(C594)-N(D594)</f>
        <v/>
      </c>
      <c r="F594" s="9">
        <f>IF(E594=0,"",TEXT(ABS(E594),"0.00")&amp;"|"&amp;IF(E594&gt;0,"AR","AP"))</f>
        <v/>
      </c>
      <c r="G594" s="9">
        <f>IF(F594="","",COUNTIF(Ledger!$H:$H,F594))</f>
        <v/>
      </c>
      <c r="H594" s="9">
        <f>IF(F594="","",IF(COUNTIF($F:$F,F594)&gt;1,"REVIEW - same amount appears twice",IF(G594=0,"UNMATCHED - no ledger entry",IF(G594&gt;1,"REVIEW - matches several ledger entries","Matched"))))</f>
        <v/>
      </c>
    </row>
    <row r="595">
      <c r="A595" s="8" t="n"/>
      <c r="B595" s="9" t="n"/>
      <c r="C595" s="10" t="n"/>
      <c r="D595" s="10" t="n"/>
      <c r="E595" s="10">
        <f>N(C595)-N(D595)</f>
        <v/>
      </c>
      <c r="F595" s="9">
        <f>IF(E595=0,"",TEXT(ABS(E595),"0.00")&amp;"|"&amp;IF(E595&gt;0,"AR","AP"))</f>
        <v/>
      </c>
      <c r="G595" s="9">
        <f>IF(F595="","",COUNTIF(Ledger!$H:$H,F595))</f>
        <v/>
      </c>
      <c r="H595" s="9">
        <f>IF(F595="","",IF(COUNTIF($F:$F,F595)&gt;1,"REVIEW - same amount appears twice",IF(G595=0,"UNMATCHED - no ledger entry",IF(G595&gt;1,"REVIEW - matches several ledger entries","Matched"))))</f>
        <v/>
      </c>
    </row>
    <row r="596">
      <c r="A596" s="8" t="n"/>
      <c r="B596" s="9" t="n"/>
      <c r="C596" s="10" t="n"/>
      <c r="D596" s="10" t="n"/>
      <c r="E596" s="10">
        <f>N(C596)-N(D596)</f>
        <v/>
      </c>
      <c r="F596" s="9">
        <f>IF(E596=0,"",TEXT(ABS(E596),"0.00")&amp;"|"&amp;IF(E596&gt;0,"AR","AP"))</f>
        <v/>
      </c>
      <c r="G596" s="9">
        <f>IF(F596="","",COUNTIF(Ledger!$H:$H,F596))</f>
        <v/>
      </c>
      <c r="H596" s="9">
        <f>IF(F596="","",IF(COUNTIF($F:$F,F596)&gt;1,"REVIEW - same amount appears twice",IF(G596=0,"UNMATCHED - no ledger entry",IF(G596&gt;1,"REVIEW - matches several ledger entries","Matched"))))</f>
        <v/>
      </c>
    </row>
    <row r="597">
      <c r="A597" s="8" t="n"/>
      <c r="B597" s="9" t="n"/>
      <c r="C597" s="10" t="n"/>
      <c r="D597" s="10" t="n"/>
      <c r="E597" s="10">
        <f>N(C597)-N(D597)</f>
        <v/>
      </c>
      <c r="F597" s="9">
        <f>IF(E597=0,"",TEXT(ABS(E597),"0.00")&amp;"|"&amp;IF(E597&gt;0,"AR","AP"))</f>
        <v/>
      </c>
      <c r="G597" s="9">
        <f>IF(F597="","",COUNTIF(Ledger!$H:$H,F597))</f>
        <v/>
      </c>
      <c r="H597" s="9">
        <f>IF(F597="","",IF(COUNTIF($F:$F,F597)&gt;1,"REVIEW - same amount appears twice",IF(G597=0,"UNMATCHED - no ledger entry",IF(G597&gt;1,"REVIEW - matches several ledger entries","Matched"))))</f>
        <v/>
      </c>
    </row>
    <row r="598">
      <c r="A598" s="8" t="n"/>
      <c r="B598" s="9" t="n"/>
      <c r="C598" s="10" t="n"/>
      <c r="D598" s="10" t="n"/>
      <c r="E598" s="10">
        <f>N(C598)-N(D598)</f>
        <v/>
      </c>
      <c r="F598" s="9">
        <f>IF(E598=0,"",TEXT(ABS(E598),"0.00")&amp;"|"&amp;IF(E598&gt;0,"AR","AP"))</f>
        <v/>
      </c>
      <c r="G598" s="9">
        <f>IF(F598="","",COUNTIF(Ledger!$H:$H,F598))</f>
        <v/>
      </c>
      <c r="H598" s="9">
        <f>IF(F598="","",IF(COUNTIF($F:$F,F598)&gt;1,"REVIEW - same amount appears twice",IF(G598=0,"UNMATCHED - no ledger entry",IF(G598&gt;1,"REVIEW - matches several ledger entries","Matched"))))</f>
        <v/>
      </c>
    </row>
    <row r="599">
      <c r="A599" s="8" t="n"/>
      <c r="B599" s="9" t="n"/>
      <c r="C599" s="10" t="n"/>
      <c r="D599" s="10" t="n"/>
      <c r="E599" s="10">
        <f>N(C599)-N(D599)</f>
        <v/>
      </c>
      <c r="F599" s="9">
        <f>IF(E599=0,"",TEXT(ABS(E599),"0.00")&amp;"|"&amp;IF(E599&gt;0,"AR","AP"))</f>
        <v/>
      </c>
      <c r="G599" s="9">
        <f>IF(F599="","",COUNTIF(Ledger!$H:$H,F599))</f>
        <v/>
      </c>
      <c r="H599" s="9">
        <f>IF(F599="","",IF(COUNTIF($F:$F,F599)&gt;1,"REVIEW - same amount appears twice",IF(G599=0,"UNMATCHED - no ledger entry",IF(G599&gt;1,"REVIEW - matches several ledger entries","Matched"))))</f>
        <v/>
      </c>
    </row>
    <row r="600">
      <c r="A600" s="8" t="n"/>
      <c r="B600" s="9" t="n"/>
      <c r="C600" s="10" t="n"/>
      <c r="D600" s="10" t="n"/>
      <c r="E600" s="10">
        <f>N(C600)-N(D600)</f>
        <v/>
      </c>
      <c r="F600" s="9">
        <f>IF(E600=0,"",TEXT(ABS(E600),"0.00")&amp;"|"&amp;IF(E600&gt;0,"AR","AP"))</f>
        <v/>
      </c>
      <c r="G600" s="9">
        <f>IF(F600="","",COUNTIF(Ledger!$H:$H,F600))</f>
        <v/>
      </c>
      <c r="H600" s="9">
        <f>IF(F600="","",IF(COUNTIF($F:$F,F600)&gt;1,"REVIEW - same amount appears twice",IF(G600=0,"UNMATCHED - no ledger entry",IF(G600&gt;1,"REVIEW - matches several ledger entries","Matched"))))</f>
        <v/>
      </c>
    </row>
    <row r="601">
      <c r="A601" s="8" t="n"/>
      <c r="B601" s="9" t="n"/>
      <c r="C601" s="10" t="n"/>
      <c r="D601" s="10" t="n"/>
      <c r="E601" s="10">
        <f>N(C601)-N(D601)</f>
        <v/>
      </c>
      <c r="F601" s="9">
        <f>IF(E601=0,"",TEXT(ABS(E601),"0.00")&amp;"|"&amp;IF(E601&gt;0,"AR","AP"))</f>
        <v/>
      </c>
      <c r="G601" s="9">
        <f>IF(F601="","",COUNTIF(Ledger!$H:$H,F601))</f>
        <v/>
      </c>
      <c r="H601" s="9">
        <f>IF(F601="","",IF(COUNTIF($F:$F,F601)&gt;1,"REVIEW - same amount appears twice",IF(G601=0,"UNMATCHED - no ledger entry",IF(G601&gt;1,"REVIEW - matches several ledger entries","Matched"))))</f>
        <v/>
      </c>
    </row>
    <row r="602">
      <c r="A602" s="8" t="n"/>
      <c r="B602" s="9" t="n"/>
      <c r="C602" s="10" t="n"/>
      <c r="D602" s="10" t="n"/>
      <c r="E602" s="10">
        <f>N(C602)-N(D602)</f>
        <v/>
      </c>
      <c r="F602" s="9">
        <f>IF(E602=0,"",TEXT(ABS(E602),"0.00")&amp;"|"&amp;IF(E602&gt;0,"AR","AP"))</f>
        <v/>
      </c>
      <c r="G602" s="9">
        <f>IF(F602="","",COUNTIF(Ledger!$H:$H,F602))</f>
        <v/>
      </c>
      <c r="H602" s="9">
        <f>IF(F602="","",IF(COUNTIF($F:$F,F602)&gt;1,"REVIEW - same amount appears twice",IF(G602=0,"UNMATCHED - no ledger entry",IF(G602&gt;1,"REVIEW - matches several ledger entries","Matched"))))</f>
        <v/>
      </c>
    </row>
    <row r="603">
      <c r="A603" s="8" t="n"/>
      <c r="B603" s="9" t="n"/>
      <c r="C603" s="10" t="n"/>
      <c r="D603" s="10" t="n"/>
      <c r="E603" s="10">
        <f>N(C603)-N(D603)</f>
        <v/>
      </c>
      <c r="F603" s="9">
        <f>IF(E603=0,"",TEXT(ABS(E603),"0.00")&amp;"|"&amp;IF(E603&gt;0,"AR","AP"))</f>
        <v/>
      </c>
      <c r="G603" s="9">
        <f>IF(F603="","",COUNTIF(Ledger!$H:$H,F603))</f>
        <v/>
      </c>
      <c r="H603" s="9">
        <f>IF(F603="","",IF(COUNTIF($F:$F,F603)&gt;1,"REVIEW - same amount appears twice",IF(G603=0,"UNMATCHED - no ledger entry",IF(G603&gt;1,"REVIEW - matches several ledger entries","Matched"))))</f>
        <v/>
      </c>
    </row>
    <row r="604">
      <c r="A604" s="8" t="n"/>
      <c r="B604" s="9" t="n"/>
      <c r="C604" s="10" t="n"/>
      <c r="D604" s="10" t="n"/>
      <c r="E604" s="10">
        <f>N(C604)-N(D604)</f>
        <v/>
      </c>
      <c r="F604" s="9">
        <f>IF(E604=0,"",TEXT(ABS(E604),"0.00")&amp;"|"&amp;IF(E604&gt;0,"AR","AP"))</f>
        <v/>
      </c>
      <c r="G604" s="9">
        <f>IF(F604="","",COUNTIF(Ledger!$H:$H,F604))</f>
        <v/>
      </c>
      <c r="H604" s="9">
        <f>IF(F604="","",IF(COUNTIF($F:$F,F604)&gt;1,"REVIEW - same amount appears twice",IF(G604=0,"UNMATCHED - no ledger entry",IF(G604&gt;1,"REVIEW - matches several ledger entries","Matched"))))</f>
        <v/>
      </c>
    </row>
  </sheetData>
  <autoFilter ref="A4:H604"/>
  <conditionalFormatting sqref="H5:H604">
    <cfRule type="expression" priority="1" dxfId="0">
      <formula>LEFT($H5,9)="UNMATCHED"</formula>
    </cfRule>
    <cfRule type="expression" priority="2" dxfId="1">
      <formula>LEFT($H5,6)="REVIEW"</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604"/>
  <sheetViews>
    <sheetView showGridLines="1" workbookViewId="0">
      <pane ySplit="4" topLeftCell="A5" activePane="bottomLeft" state="frozen"/>
      <selection pane="bottomLeft" activeCell="A1" sqref="A1"/>
    </sheetView>
  </sheetViews>
  <sheetFormatPr baseColWidth="8" defaultRowHeight="15"/>
  <cols>
    <col width="12" customWidth="1" min="1" max="1"/>
    <col width="10" customWidth="1" min="2" max="2"/>
    <col width="26" customWidth="1" min="3" max="3"/>
    <col width="13" customWidth="1" min="4" max="4"/>
    <col width="13" customWidth="1" min="5" max="5"/>
    <col width="12" customWidth="1" min="6" max="6"/>
    <col width="13" customWidth="1" min="7" max="7"/>
    <col width="16" customWidth="1" min="8" max="8"/>
    <col width="13" customWidth="1" min="9" max="9"/>
    <col width="14" customWidth="1" min="10" max="10"/>
  </cols>
  <sheetData>
    <row r="1">
      <c r="A1" s="1" t="inlineStr">
        <is>
          <t>Ledger - invoices you raised and bills you received</t>
        </is>
      </c>
    </row>
    <row r="2">
      <c r="A2" s="2" t="inlineStr">
        <is>
          <t>Columns A-F are typed. G to J are formulas. One row per document, never one row per payment.</t>
        </is>
      </c>
    </row>
    <row r="4" ht="26" customHeight="1">
      <c r="A4" s="7" t="inlineStr">
        <is>
          <t>Date</t>
        </is>
      </c>
      <c r="B4" s="7" t="inlineStr">
        <is>
          <t>Type</t>
        </is>
      </c>
      <c r="C4" s="7" t="inlineStr">
        <is>
          <t>Party</t>
        </is>
      </c>
      <c r="D4" s="7" t="inlineStr">
        <is>
          <t>Reference</t>
        </is>
      </c>
      <c r="E4" s="7" t="inlineStr">
        <is>
          <t>Amount</t>
        </is>
      </c>
      <c r="F4" s="7" t="inlineStr">
        <is>
          <t>Due date</t>
        </is>
      </c>
      <c r="G4" s="7" t="inlineStr">
        <is>
          <t>Days overdue</t>
        </is>
      </c>
      <c r="H4" s="7" t="inlineStr">
        <is>
          <t>Match key</t>
        </is>
      </c>
      <c r="I4" s="7" t="inlineStr">
        <is>
          <t>Settled</t>
        </is>
      </c>
      <c r="J4" s="7" t="inlineStr">
        <is>
          <t>Aging bucket</t>
        </is>
      </c>
    </row>
    <row r="5">
      <c r="A5" s="8" t="n"/>
      <c r="B5" s="9" t="n"/>
      <c r="C5" s="9" t="n"/>
      <c r="D5" s="9" t="n"/>
      <c r="E5" s="10" t="n"/>
      <c r="F5" s="8" t="n"/>
      <c r="G5" s="9">
        <f>IF(I5="Settled","",MAX(0,TODAY()-F5))</f>
        <v/>
      </c>
      <c r="H5" s="9">
        <f>IF(E5="","",TEXT(E5,"0.00")&amp;"|"&amp;IF(B5="Invoice","AR","AP"))</f>
        <v/>
      </c>
      <c r="I5" s="9">
        <f>IF(H5="","",IF(COUNTIF(Bank!$F:$F,H5)&gt;0,"Settled","Open"))</f>
        <v/>
      </c>
      <c r="J5" s="9">
        <f>IF(I5&lt;&gt;"Open","",IF(G5&lt;=0,"Current",IF(G5&lt;=30,"1-30",IF(G5&lt;=60,"31-60",IF(G5&lt;=90,"61-90","90+")))))</f>
        <v/>
      </c>
    </row>
    <row r="6">
      <c r="A6" s="8" t="n"/>
      <c r="B6" s="9" t="n"/>
      <c r="C6" s="9" t="n"/>
      <c r="D6" s="9" t="n"/>
      <c r="E6" s="10" t="n"/>
      <c r="F6" s="8" t="n"/>
      <c r="G6" s="9">
        <f>IF(I6="Settled","",MAX(0,TODAY()-F6))</f>
        <v/>
      </c>
      <c r="H6" s="9">
        <f>IF(E6="","",TEXT(E6,"0.00")&amp;"|"&amp;IF(B6="Invoice","AR","AP"))</f>
        <v/>
      </c>
      <c r="I6" s="9">
        <f>IF(H6="","",IF(COUNTIF(Bank!$F:$F,H6)&gt;0,"Settled","Open"))</f>
        <v/>
      </c>
      <c r="J6" s="9">
        <f>IF(I6&lt;&gt;"Open","",IF(G6&lt;=0,"Current",IF(G6&lt;=30,"1-30",IF(G6&lt;=60,"31-60",IF(G6&lt;=90,"61-90","90+")))))</f>
        <v/>
      </c>
    </row>
    <row r="7">
      <c r="A7" s="8" t="n"/>
      <c r="B7" s="9" t="n"/>
      <c r="C7" s="9" t="n"/>
      <c r="D7" s="9" t="n"/>
      <c r="E7" s="10" t="n"/>
      <c r="F7" s="8" t="n"/>
      <c r="G7" s="9">
        <f>IF(I7="Settled","",MAX(0,TODAY()-F7))</f>
        <v/>
      </c>
      <c r="H7" s="9">
        <f>IF(E7="","",TEXT(E7,"0.00")&amp;"|"&amp;IF(B7="Invoice","AR","AP"))</f>
        <v/>
      </c>
      <c r="I7" s="9">
        <f>IF(H7="","",IF(COUNTIF(Bank!$F:$F,H7)&gt;0,"Settled","Open"))</f>
        <v/>
      </c>
      <c r="J7" s="9">
        <f>IF(I7&lt;&gt;"Open","",IF(G7&lt;=0,"Current",IF(G7&lt;=30,"1-30",IF(G7&lt;=60,"31-60",IF(G7&lt;=90,"61-90","90+")))))</f>
        <v/>
      </c>
    </row>
    <row r="8">
      <c r="A8" s="8" t="n"/>
      <c r="B8" s="9" t="n"/>
      <c r="C8" s="9" t="n"/>
      <c r="D8" s="9" t="n"/>
      <c r="E8" s="10" t="n"/>
      <c r="F8" s="8" t="n"/>
      <c r="G8" s="9">
        <f>IF(I8="Settled","",MAX(0,TODAY()-F8))</f>
        <v/>
      </c>
      <c r="H8" s="9">
        <f>IF(E8="","",TEXT(E8,"0.00")&amp;"|"&amp;IF(B8="Invoice","AR","AP"))</f>
        <v/>
      </c>
      <c r="I8" s="9">
        <f>IF(H8="","",IF(COUNTIF(Bank!$F:$F,H8)&gt;0,"Settled","Open"))</f>
        <v/>
      </c>
      <c r="J8" s="9">
        <f>IF(I8&lt;&gt;"Open","",IF(G8&lt;=0,"Current",IF(G8&lt;=30,"1-30",IF(G8&lt;=60,"31-60",IF(G8&lt;=90,"61-90","90+")))))</f>
        <v/>
      </c>
    </row>
    <row r="9">
      <c r="A9" s="8" t="n"/>
      <c r="B9" s="9" t="n"/>
      <c r="C9" s="9" t="n"/>
      <c r="D9" s="9" t="n"/>
      <c r="E9" s="10" t="n"/>
      <c r="F9" s="8" t="n"/>
      <c r="G9" s="9">
        <f>IF(I9="Settled","",MAX(0,TODAY()-F9))</f>
        <v/>
      </c>
      <c r="H9" s="9">
        <f>IF(E9="","",TEXT(E9,"0.00")&amp;"|"&amp;IF(B9="Invoice","AR","AP"))</f>
        <v/>
      </c>
      <c r="I9" s="9">
        <f>IF(H9="","",IF(COUNTIF(Bank!$F:$F,H9)&gt;0,"Settled","Open"))</f>
        <v/>
      </c>
      <c r="J9" s="9">
        <f>IF(I9&lt;&gt;"Open","",IF(G9&lt;=0,"Current",IF(G9&lt;=30,"1-30",IF(G9&lt;=60,"31-60",IF(G9&lt;=90,"61-90","90+")))))</f>
        <v/>
      </c>
    </row>
    <row r="10">
      <c r="A10" s="8" t="n"/>
      <c r="B10" s="9" t="n"/>
      <c r="C10" s="9" t="n"/>
      <c r="D10" s="9" t="n"/>
      <c r="E10" s="10" t="n"/>
      <c r="F10" s="8" t="n"/>
      <c r="G10" s="9">
        <f>IF(I10="Settled","",MAX(0,TODAY()-F10))</f>
        <v/>
      </c>
      <c r="H10" s="9">
        <f>IF(E10="","",TEXT(E10,"0.00")&amp;"|"&amp;IF(B10="Invoice","AR","AP"))</f>
        <v/>
      </c>
      <c r="I10" s="9">
        <f>IF(H10="","",IF(COUNTIF(Bank!$F:$F,H10)&gt;0,"Settled","Open"))</f>
        <v/>
      </c>
      <c r="J10" s="9">
        <f>IF(I10&lt;&gt;"Open","",IF(G10&lt;=0,"Current",IF(G10&lt;=30,"1-30",IF(G10&lt;=60,"31-60",IF(G10&lt;=90,"61-90","90+")))))</f>
        <v/>
      </c>
    </row>
    <row r="11">
      <c r="A11" s="8" t="n"/>
      <c r="B11" s="9" t="n"/>
      <c r="C11" s="9" t="n"/>
      <c r="D11" s="9" t="n"/>
      <c r="E11" s="10" t="n"/>
      <c r="F11" s="8" t="n"/>
      <c r="G11" s="9">
        <f>IF(I11="Settled","",MAX(0,TODAY()-F11))</f>
        <v/>
      </c>
      <c r="H11" s="9">
        <f>IF(E11="","",TEXT(E11,"0.00")&amp;"|"&amp;IF(B11="Invoice","AR","AP"))</f>
        <v/>
      </c>
      <c r="I11" s="9">
        <f>IF(H11="","",IF(COUNTIF(Bank!$F:$F,H11)&gt;0,"Settled","Open"))</f>
        <v/>
      </c>
      <c r="J11" s="9">
        <f>IF(I11&lt;&gt;"Open","",IF(G11&lt;=0,"Current",IF(G11&lt;=30,"1-30",IF(G11&lt;=60,"31-60",IF(G11&lt;=90,"61-90","90+")))))</f>
        <v/>
      </c>
    </row>
    <row r="12">
      <c r="A12" s="8" t="n"/>
      <c r="B12" s="9" t="n"/>
      <c r="C12" s="9" t="n"/>
      <c r="D12" s="9" t="n"/>
      <c r="E12" s="10" t="n"/>
      <c r="F12" s="8" t="n"/>
      <c r="G12" s="9">
        <f>IF(I12="Settled","",MAX(0,TODAY()-F12))</f>
        <v/>
      </c>
      <c r="H12" s="9">
        <f>IF(E12="","",TEXT(E12,"0.00")&amp;"|"&amp;IF(B12="Invoice","AR","AP"))</f>
        <v/>
      </c>
      <c r="I12" s="9">
        <f>IF(H12="","",IF(COUNTIF(Bank!$F:$F,H12)&gt;0,"Settled","Open"))</f>
        <v/>
      </c>
      <c r="J12" s="9">
        <f>IF(I12&lt;&gt;"Open","",IF(G12&lt;=0,"Current",IF(G12&lt;=30,"1-30",IF(G12&lt;=60,"31-60",IF(G12&lt;=90,"61-90","90+")))))</f>
        <v/>
      </c>
    </row>
    <row r="13">
      <c r="A13" s="8" t="n"/>
      <c r="B13" s="9" t="n"/>
      <c r="C13" s="9" t="n"/>
      <c r="D13" s="9" t="n"/>
      <c r="E13" s="10" t="n"/>
      <c r="F13" s="8" t="n"/>
      <c r="G13" s="9">
        <f>IF(I13="Settled","",MAX(0,TODAY()-F13))</f>
        <v/>
      </c>
      <c r="H13" s="9">
        <f>IF(E13="","",TEXT(E13,"0.00")&amp;"|"&amp;IF(B13="Invoice","AR","AP"))</f>
        <v/>
      </c>
      <c r="I13" s="9">
        <f>IF(H13="","",IF(COUNTIF(Bank!$F:$F,H13)&gt;0,"Settled","Open"))</f>
        <v/>
      </c>
      <c r="J13" s="9">
        <f>IF(I13&lt;&gt;"Open","",IF(G13&lt;=0,"Current",IF(G13&lt;=30,"1-30",IF(G13&lt;=60,"31-60",IF(G13&lt;=90,"61-90","90+")))))</f>
        <v/>
      </c>
    </row>
    <row r="14">
      <c r="A14" s="8" t="n"/>
      <c r="B14" s="9" t="n"/>
      <c r="C14" s="9" t="n"/>
      <c r="D14" s="9" t="n"/>
      <c r="E14" s="10" t="n"/>
      <c r="F14" s="8" t="n"/>
      <c r="G14" s="9">
        <f>IF(I14="Settled","",MAX(0,TODAY()-F14))</f>
        <v/>
      </c>
      <c r="H14" s="9">
        <f>IF(E14="","",TEXT(E14,"0.00")&amp;"|"&amp;IF(B14="Invoice","AR","AP"))</f>
        <v/>
      </c>
      <c r="I14" s="9">
        <f>IF(H14="","",IF(COUNTIF(Bank!$F:$F,H14)&gt;0,"Settled","Open"))</f>
        <v/>
      </c>
      <c r="J14" s="9">
        <f>IF(I14&lt;&gt;"Open","",IF(G14&lt;=0,"Current",IF(G14&lt;=30,"1-30",IF(G14&lt;=60,"31-60",IF(G14&lt;=90,"61-90","90+")))))</f>
        <v/>
      </c>
    </row>
    <row r="15">
      <c r="A15" s="8" t="n"/>
      <c r="B15" s="9" t="n"/>
      <c r="C15" s="9" t="n"/>
      <c r="D15" s="9" t="n"/>
      <c r="E15" s="10" t="n"/>
      <c r="F15" s="8" t="n"/>
      <c r="G15" s="9">
        <f>IF(I15="Settled","",MAX(0,TODAY()-F15))</f>
        <v/>
      </c>
      <c r="H15" s="9">
        <f>IF(E15="","",TEXT(E15,"0.00")&amp;"|"&amp;IF(B15="Invoice","AR","AP"))</f>
        <v/>
      </c>
      <c r="I15" s="9">
        <f>IF(H15="","",IF(COUNTIF(Bank!$F:$F,H15)&gt;0,"Settled","Open"))</f>
        <v/>
      </c>
      <c r="J15" s="9">
        <f>IF(I15&lt;&gt;"Open","",IF(G15&lt;=0,"Current",IF(G15&lt;=30,"1-30",IF(G15&lt;=60,"31-60",IF(G15&lt;=90,"61-90","90+")))))</f>
        <v/>
      </c>
    </row>
    <row r="16">
      <c r="A16" s="8" t="n"/>
      <c r="B16" s="9" t="n"/>
      <c r="C16" s="9" t="n"/>
      <c r="D16" s="9" t="n"/>
      <c r="E16" s="10" t="n"/>
      <c r="F16" s="8" t="n"/>
      <c r="G16" s="9">
        <f>IF(I16="Settled","",MAX(0,TODAY()-F16))</f>
        <v/>
      </c>
      <c r="H16" s="9">
        <f>IF(E16="","",TEXT(E16,"0.00")&amp;"|"&amp;IF(B16="Invoice","AR","AP"))</f>
        <v/>
      </c>
      <c r="I16" s="9">
        <f>IF(H16="","",IF(COUNTIF(Bank!$F:$F,H16)&gt;0,"Settled","Open"))</f>
        <v/>
      </c>
      <c r="J16" s="9">
        <f>IF(I16&lt;&gt;"Open","",IF(G16&lt;=0,"Current",IF(G16&lt;=30,"1-30",IF(G16&lt;=60,"31-60",IF(G16&lt;=90,"61-90","90+")))))</f>
        <v/>
      </c>
    </row>
    <row r="17">
      <c r="A17" s="8" t="n"/>
      <c r="B17" s="9" t="n"/>
      <c r="C17" s="9" t="n"/>
      <c r="D17" s="9" t="n"/>
      <c r="E17" s="10" t="n"/>
      <c r="F17" s="8" t="n"/>
      <c r="G17" s="9">
        <f>IF(I17="Settled","",MAX(0,TODAY()-F17))</f>
        <v/>
      </c>
      <c r="H17" s="9">
        <f>IF(E17="","",TEXT(E17,"0.00")&amp;"|"&amp;IF(B17="Invoice","AR","AP"))</f>
        <v/>
      </c>
      <c r="I17" s="9">
        <f>IF(H17="","",IF(COUNTIF(Bank!$F:$F,H17)&gt;0,"Settled","Open"))</f>
        <v/>
      </c>
      <c r="J17" s="9">
        <f>IF(I17&lt;&gt;"Open","",IF(G17&lt;=0,"Current",IF(G17&lt;=30,"1-30",IF(G17&lt;=60,"31-60",IF(G17&lt;=90,"61-90","90+")))))</f>
        <v/>
      </c>
    </row>
    <row r="18">
      <c r="A18" s="8" t="n"/>
      <c r="B18" s="9" t="n"/>
      <c r="C18" s="9" t="n"/>
      <c r="D18" s="9" t="n"/>
      <c r="E18" s="10" t="n"/>
      <c r="F18" s="8" t="n"/>
      <c r="G18" s="9">
        <f>IF(I18="Settled","",MAX(0,TODAY()-F18))</f>
        <v/>
      </c>
      <c r="H18" s="9">
        <f>IF(E18="","",TEXT(E18,"0.00")&amp;"|"&amp;IF(B18="Invoice","AR","AP"))</f>
        <v/>
      </c>
      <c r="I18" s="9">
        <f>IF(H18="","",IF(COUNTIF(Bank!$F:$F,H18)&gt;0,"Settled","Open"))</f>
        <v/>
      </c>
      <c r="J18" s="9">
        <f>IF(I18&lt;&gt;"Open","",IF(G18&lt;=0,"Current",IF(G18&lt;=30,"1-30",IF(G18&lt;=60,"31-60",IF(G18&lt;=90,"61-90","90+")))))</f>
        <v/>
      </c>
    </row>
    <row r="19">
      <c r="A19" s="8" t="n"/>
      <c r="B19" s="9" t="n"/>
      <c r="C19" s="9" t="n"/>
      <c r="D19" s="9" t="n"/>
      <c r="E19" s="10" t="n"/>
      <c r="F19" s="8" t="n"/>
      <c r="G19" s="9">
        <f>IF(I19="Settled","",MAX(0,TODAY()-F19))</f>
        <v/>
      </c>
      <c r="H19" s="9">
        <f>IF(E19="","",TEXT(E19,"0.00")&amp;"|"&amp;IF(B19="Invoice","AR","AP"))</f>
        <v/>
      </c>
      <c r="I19" s="9">
        <f>IF(H19="","",IF(COUNTIF(Bank!$F:$F,H19)&gt;0,"Settled","Open"))</f>
        <v/>
      </c>
      <c r="J19" s="9">
        <f>IF(I19&lt;&gt;"Open","",IF(G19&lt;=0,"Current",IF(G19&lt;=30,"1-30",IF(G19&lt;=60,"31-60",IF(G19&lt;=90,"61-90","90+")))))</f>
        <v/>
      </c>
    </row>
    <row r="20">
      <c r="A20" s="8" t="n"/>
      <c r="B20" s="9" t="n"/>
      <c r="C20" s="9" t="n"/>
      <c r="D20" s="9" t="n"/>
      <c r="E20" s="10" t="n"/>
      <c r="F20" s="8" t="n"/>
      <c r="G20" s="9">
        <f>IF(I20="Settled","",MAX(0,TODAY()-F20))</f>
        <v/>
      </c>
      <c r="H20" s="9">
        <f>IF(E20="","",TEXT(E20,"0.00")&amp;"|"&amp;IF(B20="Invoice","AR","AP"))</f>
        <v/>
      </c>
      <c r="I20" s="9">
        <f>IF(H20="","",IF(COUNTIF(Bank!$F:$F,H20)&gt;0,"Settled","Open"))</f>
        <v/>
      </c>
      <c r="J20" s="9">
        <f>IF(I20&lt;&gt;"Open","",IF(G20&lt;=0,"Current",IF(G20&lt;=30,"1-30",IF(G20&lt;=60,"31-60",IF(G20&lt;=90,"61-90","90+")))))</f>
        <v/>
      </c>
    </row>
    <row r="21">
      <c r="A21" s="8" t="n"/>
      <c r="B21" s="9" t="n"/>
      <c r="C21" s="9" t="n"/>
      <c r="D21" s="9" t="n"/>
      <c r="E21" s="10" t="n"/>
      <c r="F21" s="8" t="n"/>
      <c r="G21" s="9">
        <f>IF(I21="Settled","",MAX(0,TODAY()-F21))</f>
        <v/>
      </c>
      <c r="H21" s="9">
        <f>IF(E21="","",TEXT(E21,"0.00")&amp;"|"&amp;IF(B21="Invoice","AR","AP"))</f>
        <v/>
      </c>
      <c r="I21" s="9">
        <f>IF(H21="","",IF(COUNTIF(Bank!$F:$F,H21)&gt;0,"Settled","Open"))</f>
        <v/>
      </c>
      <c r="J21" s="9">
        <f>IF(I21&lt;&gt;"Open","",IF(G21&lt;=0,"Current",IF(G21&lt;=30,"1-30",IF(G21&lt;=60,"31-60",IF(G21&lt;=90,"61-90","90+")))))</f>
        <v/>
      </c>
    </row>
    <row r="22">
      <c r="A22" s="8" t="n"/>
      <c r="B22" s="9" t="n"/>
      <c r="C22" s="9" t="n"/>
      <c r="D22" s="9" t="n"/>
      <c r="E22" s="10" t="n"/>
      <c r="F22" s="8" t="n"/>
      <c r="G22" s="9">
        <f>IF(I22="Settled","",MAX(0,TODAY()-F22))</f>
        <v/>
      </c>
      <c r="H22" s="9">
        <f>IF(E22="","",TEXT(E22,"0.00")&amp;"|"&amp;IF(B22="Invoice","AR","AP"))</f>
        <v/>
      </c>
      <c r="I22" s="9">
        <f>IF(H22="","",IF(COUNTIF(Bank!$F:$F,H22)&gt;0,"Settled","Open"))</f>
        <v/>
      </c>
      <c r="J22" s="9">
        <f>IF(I22&lt;&gt;"Open","",IF(G22&lt;=0,"Current",IF(G22&lt;=30,"1-30",IF(G22&lt;=60,"31-60",IF(G22&lt;=90,"61-90","90+")))))</f>
        <v/>
      </c>
    </row>
    <row r="23">
      <c r="A23" s="8" t="n"/>
      <c r="B23" s="9" t="n"/>
      <c r="C23" s="9" t="n"/>
      <c r="D23" s="9" t="n"/>
      <c r="E23" s="10" t="n"/>
      <c r="F23" s="8" t="n"/>
      <c r="G23" s="9">
        <f>IF(I23="Settled","",MAX(0,TODAY()-F23))</f>
        <v/>
      </c>
      <c r="H23" s="9">
        <f>IF(E23="","",TEXT(E23,"0.00")&amp;"|"&amp;IF(B23="Invoice","AR","AP"))</f>
        <v/>
      </c>
      <c r="I23" s="9">
        <f>IF(H23="","",IF(COUNTIF(Bank!$F:$F,H23)&gt;0,"Settled","Open"))</f>
        <v/>
      </c>
      <c r="J23" s="9">
        <f>IF(I23&lt;&gt;"Open","",IF(G23&lt;=0,"Current",IF(G23&lt;=30,"1-30",IF(G23&lt;=60,"31-60",IF(G23&lt;=90,"61-90","90+")))))</f>
        <v/>
      </c>
    </row>
    <row r="24">
      <c r="A24" s="8" t="n"/>
      <c r="B24" s="9" t="n"/>
      <c r="C24" s="9" t="n"/>
      <c r="D24" s="9" t="n"/>
      <c r="E24" s="10" t="n"/>
      <c r="F24" s="8" t="n"/>
      <c r="G24" s="9">
        <f>IF(I24="Settled","",MAX(0,TODAY()-F24))</f>
        <v/>
      </c>
      <c r="H24" s="9">
        <f>IF(E24="","",TEXT(E24,"0.00")&amp;"|"&amp;IF(B24="Invoice","AR","AP"))</f>
        <v/>
      </c>
      <c r="I24" s="9">
        <f>IF(H24="","",IF(COUNTIF(Bank!$F:$F,H24)&gt;0,"Settled","Open"))</f>
        <v/>
      </c>
      <c r="J24" s="9">
        <f>IF(I24&lt;&gt;"Open","",IF(G24&lt;=0,"Current",IF(G24&lt;=30,"1-30",IF(G24&lt;=60,"31-60",IF(G24&lt;=90,"61-90","90+")))))</f>
        <v/>
      </c>
    </row>
    <row r="25">
      <c r="A25" s="8" t="n"/>
      <c r="B25" s="9" t="n"/>
      <c r="C25" s="9" t="n"/>
      <c r="D25" s="9" t="n"/>
      <c r="E25" s="10" t="n"/>
      <c r="F25" s="8" t="n"/>
      <c r="G25" s="9">
        <f>IF(I25="Settled","",MAX(0,TODAY()-F25))</f>
        <v/>
      </c>
      <c r="H25" s="9">
        <f>IF(E25="","",TEXT(E25,"0.00")&amp;"|"&amp;IF(B25="Invoice","AR","AP"))</f>
        <v/>
      </c>
      <c r="I25" s="9">
        <f>IF(H25="","",IF(COUNTIF(Bank!$F:$F,H25)&gt;0,"Settled","Open"))</f>
        <v/>
      </c>
      <c r="J25" s="9">
        <f>IF(I25&lt;&gt;"Open","",IF(G25&lt;=0,"Current",IF(G25&lt;=30,"1-30",IF(G25&lt;=60,"31-60",IF(G25&lt;=90,"61-90","90+")))))</f>
        <v/>
      </c>
    </row>
    <row r="26">
      <c r="A26" s="8" t="n"/>
      <c r="B26" s="9" t="n"/>
      <c r="C26" s="9" t="n"/>
      <c r="D26" s="9" t="n"/>
      <c r="E26" s="10" t="n"/>
      <c r="F26" s="8" t="n"/>
      <c r="G26" s="9">
        <f>IF(I26="Settled","",MAX(0,TODAY()-F26))</f>
        <v/>
      </c>
      <c r="H26" s="9">
        <f>IF(E26="","",TEXT(E26,"0.00")&amp;"|"&amp;IF(B26="Invoice","AR","AP"))</f>
        <v/>
      </c>
      <c r="I26" s="9">
        <f>IF(H26="","",IF(COUNTIF(Bank!$F:$F,H26)&gt;0,"Settled","Open"))</f>
        <v/>
      </c>
      <c r="J26" s="9">
        <f>IF(I26&lt;&gt;"Open","",IF(G26&lt;=0,"Current",IF(G26&lt;=30,"1-30",IF(G26&lt;=60,"31-60",IF(G26&lt;=90,"61-90","90+")))))</f>
        <v/>
      </c>
    </row>
    <row r="27">
      <c r="A27" s="8" t="n"/>
      <c r="B27" s="9" t="n"/>
      <c r="C27" s="9" t="n"/>
      <c r="D27" s="9" t="n"/>
      <c r="E27" s="10" t="n"/>
      <c r="F27" s="8" t="n"/>
      <c r="G27" s="9">
        <f>IF(I27="Settled","",MAX(0,TODAY()-F27))</f>
        <v/>
      </c>
      <c r="H27" s="9">
        <f>IF(E27="","",TEXT(E27,"0.00")&amp;"|"&amp;IF(B27="Invoice","AR","AP"))</f>
        <v/>
      </c>
      <c r="I27" s="9">
        <f>IF(H27="","",IF(COUNTIF(Bank!$F:$F,H27)&gt;0,"Settled","Open"))</f>
        <v/>
      </c>
      <c r="J27" s="9">
        <f>IF(I27&lt;&gt;"Open","",IF(G27&lt;=0,"Current",IF(G27&lt;=30,"1-30",IF(G27&lt;=60,"31-60",IF(G27&lt;=90,"61-90","90+")))))</f>
        <v/>
      </c>
    </row>
    <row r="28">
      <c r="A28" s="8" t="n"/>
      <c r="B28" s="9" t="n"/>
      <c r="C28" s="9" t="n"/>
      <c r="D28" s="9" t="n"/>
      <c r="E28" s="10" t="n"/>
      <c r="F28" s="8" t="n"/>
      <c r="G28" s="9">
        <f>IF(I28="Settled","",MAX(0,TODAY()-F28))</f>
        <v/>
      </c>
      <c r="H28" s="9">
        <f>IF(E28="","",TEXT(E28,"0.00")&amp;"|"&amp;IF(B28="Invoice","AR","AP"))</f>
        <v/>
      </c>
      <c r="I28" s="9">
        <f>IF(H28="","",IF(COUNTIF(Bank!$F:$F,H28)&gt;0,"Settled","Open"))</f>
        <v/>
      </c>
      <c r="J28" s="9">
        <f>IF(I28&lt;&gt;"Open","",IF(G28&lt;=0,"Current",IF(G28&lt;=30,"1-30",IF(G28&lt;=60,"31-60",IF(G28&lt;=90,"61-90","90+")))))</f>
        <v/>
      </c>
    </row>
    <row r="29">
      <c r="A29" s="8" t="n"/>
      <c r="B29" s="9" t="n"/>
      <c r="C29" s="9" t="n"/>
      <c r="D29" s="9" t="n"/>
      <c r="E29" s="10" t="n"/>
      <c r="F29" s="8" t="n"/>
      <c r="G29" s="9">
        <f>IF(I29="Settled","",MAX(0,TODAY()-F29))</f>
        <v/>
      </c>
      <c r="H29" s="9">
        <f>IF(E29="","",TEXT(E29,"0.00")&amp;"|"&amp;IF(B29="Invoice","AR","AP"))</f>
        <v/>
      </c>
      <c r="I29" s="9">
        <f>IF(H29="","",IF(COUNTIF(Bank!$F:$F,H29)&gt;0,"Settled","Open"))</f>
        <v/>
      </c>
      <c r="J29" s="9">
        <f>IF(I29&lt;&gt;"Open","",IF(G29&lt;=0,"Current",IF(G29&lt;=30,"1-30",IF(G29&lt;=60,"31-60",IF(G29&lt;=90,"61-90","90+")))))</f>
        <v/>
      </c>
    </row>
    <row r="30">
      <c r="A30" s="8" t="n"/>
      <c r="B30" s="9" t="n"/>
      <c r="C30" s="9" t="n"/>
      <c r="D30" s="9" t="n"/>
      <c r="E30" s="10" t="n"/>
      <c r="F30" s="8" t="n"/>
      <c r="G30" s="9">
        <f>IF(I30="Settled","",MAX(0,TODAY()-F30))</f>
        <v/>
      </c>
      <c r="H30" s="9">
        <f>IF(E30="","",TEXT(E30,"0.00")&amp;"|"&amp;IF(B30="Invoice","AR","AP"))</f>
        <v/>
      </c>
      <c r="I30" s="9">
        <f>IF(H30="","",IF(COUNTIF(Bank!$F:$F,H30)&gt;0,"Settled","Open"))</f>
        <v/>
      </c>
      <c r="J30" s="9">
        <f>IF(I30&lt;&gt;"Open","",IF(G30&lt;=0,"Current",IF(G30&lt;=30,"1-30",IF(G30&lt;=60,"31-60",IF(G30&lt;=90,"61-90","90+")))))</f>
        <v/>
      </c>
    </row>
    <row r="31">
      <c r="A31" s="8" t="n"/>
      <c r="B31" s="9" t="n"/>
      <c r="C31" s="9" t="n"/>
      <c r="D31" s="9" t="n"/>
      <c r="E31" s="10" t="n"/>
      <c r="F31" s="8" t="n"/>
      <c r="G31" s="9">
        <f>IF(I31="Settled","",MAX(0,TODAY()-F31))</f>
        <v/>
      </c>
      <c r="H31" s="9">
        <f>IF(E31="","",TEXT(E31,"0.00")&amp;"|"&amp;IF(B31="Invoice","AR","AP"))</f>
        <v/>
      </c>
      <c r="I31" s="9">
        <f>IF(H31="","",IF(COUNTIF(Bank!$F:$F,H31)&gt;0,"Settled","Open"))</f>
        <v/>
      </c>
      <c r="J31" s="9">
        <f>IF(I31&lt;&gt;"Open","",IF(G31&lt;=0,"Current",IF(G31&lt;=30,"1-30",IF(G31&lt;=60,"31-60",IF(G31&lt;=90,"61-90","90+")))))</f>
        <v/>
      </c>
    </row>
    <row r="32">
      <c r="A32" s="8" t="n"/>
      <c r="B32" s="9" t="n"/>
      <c r="C32" s="9" t="n"/>
      <c r="D32" s="9" t="n"/>
      <c r="E32" s="10" t="n"/>
      <c r="F32" s="8" t="n"/>
      <c r="G32" s="9">
        <f>IF(I32="Settled","",MAX(0,TODAY()-F32))</f>
        <v/>
      </c>
      <c r="H32" s="9">
        <f>IF(E32="","",TEXT(E32,"0.00")&amp;"|"&amp;IF(B32="Invoice","AR","AP"))</f>
        <v/>
      </c>
      <c r="I32" s="9">
        <f>IF(H32="","",IF(COUNTIF(Bank!$F:$F,H32)&gt;0,"Settled","Open"))</f>
        <v/>
      </c>
      <c r="J32" s="9">
        <f>IF(I32&lt;&gt;"Open","",IF(G32&lt;=0,"Current",IF(G32&lt;=30,"1-30",IF(G32&lt;=60,"31-60",IF(G32&lt;=90,"61-90","90+")))))</f>
        <v/>
      </c>
    </row>
    <row r="33">
      <c r="A33" s="8" t="n"/>
      <c r="B33" s="9" t="n"/>
      <c r="C33" s="9" t="n"/>
      <c r="D33" s="9" t="n"/>
      <c r="E33" s="10" t="n"/>
      <c r="F33" s="8" t="n"/>
      <c r="G33" s="9">
        <f>IF(I33="Settled","",MAX(0,TODAY()-F33))</f>
        <v/>
      </c>
      <c r="H33" s="9">
        <f>IF(E33="","",TEXT(E33,"0.00")&amp;"|"&amp;IF(B33="Invoice","AR","AP"))</f>
        <v/>
      </c>
      <c r="I33" s="9">
        <f>IF(H33="","",IF(COUNTIF(Bank!$F:$F,H33)&gt;0,"Settled","Open"))</f>
        <v/>
      </c>
      <c r="J33" s="9">
        <f>IF(I33&lt;&gt;"Open","",IF(G33&lt;=0,"Current",IF(G33&lt;=30,"1-30",IF(G33&lt;=60,"31-60",IF(G33&lt;=90,"61-90","90+")))))</f>
        <v/>
      </c>
    </row>
    <row r="34">
      <c r="A34" s="8" t="n"/>
      <c r="B34" s="9" t="n"/>
      <c r="C34" s="9" t="n"/>
      <c r="D34" s="9" t="n"/>
      <c r="E34" s="10" t="n"/>
      <c r="F34" s="8" t="n"/>
      <c r="G34" s="9">
        <f>IF(I34="Settled","",MAX(0,TODAY()-F34))</f>
        <v/>
      </c>
      <c r="H34" s="9">
        <f>IF(E34="","",TEXT(E34,"0.00")&amp;"|"&amp;IF(B34="Invoice","AR","AP"))</f>
        <v/>
      </c>
      <c r="I34" s="9">
        <f>IF(H34="","",IF(COUNTIF(Bank!$F:$F,H34)&gt;0,"Settled","Open"))</f>
        <v/>
      </c>
      <c r="J34" s="9">
        <f>IF(I34&lt;&gt;"Open","",IF(G34&lt;=0,"Current",IF(G34&lt;=30,"1-30",IF(G34&lt;=60,"31-60",IF(G34&lt;=90,"61-90","90+")))))</f>
        <v/>
      </c>
    </row>
    <row r="35">
      <c r="A35" s="8" t="n"/>
      <c r="B35" s="9" t="n"/>
      <c r="C35" s="9" t="n"/>
      <c r="D35" s="9" t="n"/>
      <c r="E35" s="10" t="n"/>
      <c r="F35" s="8" t="n"/>
      <c r="G35" s="9">
        <f>IF(I35="Settled","",MAX(0,TODAY()-F35))</f>
        <v/>
      </c>
      <c r="H35" s="9">
        <f>IF(E35="","",TEXT(E35,"0.00")&amp;"|"&amp;IF(B35="Invoice","AR","AP"))</f>
        <v/>
      </c>
      <c r="I35" s="9">
        <f>IF(H35="","",IF(COUNTIF(Bank!$F:$F,H35)&gt;0,"Settled","Open"))</f>
        <v/>
      </c>
      <c r="J35" s="9">
        <f>IF(I35&lt;&gt;"Open","",IF(G35&lt;=0,"Current",IF(G35&lt;=30,"1-30",IF(G35&lt;=60,"31-60",IF(G35&lt;=90,"61-90","90+")))))</f>
        <v/>
      </c>
    </row>
    <row r="36">
      <c r="A36" s="8" t="n"/>
      <c r="B36" s="9" t="n"/>
      <c r="C36" s="9" t="n"/>
      <c r="D36" s="9" t="n"/>
      <c r="E36" s="10" t="n"/>
      <c r="F36" s="8" t="n"/>
      <c r="G36" s="9">
        <f>IF(I36="Settled","",MAX(0,TODAY()-F36))</f>
        <v/>
      </c>
      <c r="H36" s="9">
        <f>IF(E36="","",TEXT(E36,"0.00")&amp;"|"&amp;IF(B36="Invoice","AR","AP"))</f>
        <v/>
      </c>
      <c r="I36" s="9">
        <f>IF(H36="","",IF(COUNTIF(Bank!$F:$F,H36)&gt;0,"Settled","Open"))</f>
        <v/>
      </c>
      <c r="J36" s="9">
        <f>IF(I36&lt;&gt;"Open","",IF(G36&lt;=0,"Current",IF(G36&lt;=30,"1-30",IF(G36&lt;=60,"31-60",IF(G36&lt;=90,"61-90","90+")))))</f>
        <v/>
      </c>
    </row>
    <row r="37">
      <c r="A37" s="8" t="n"/>
      <c r="B37" s="9" t="n"/>
      <c r="C37" s="9" t="n"/>
      <c r="D37" s="9" t="n"/>
      <c r="E37" s="10" t="n"/>
      <c r="F37" s="8" t="n"/>
      <c r="G37" s="9">
        <f>IF(I37="Settled","",MAX(0,TODAY()-F37))</f>
        <v/>
      </c>
      <c r="H37" s="9">
        <f>IF(E37="","",TEXT(E37,"0.00")&amp;"|"&amp;IF(B37="Invoice","AR","AP"))</f>
        <v/>
      </c>
      <c r="I37" s="9">
        <f>IF(H37="","",IF(COUNTIF(Bank!$F:$F,H37)&gt;0,"Settled","Open"))</f>
        <v/>
      </c>
      <c r="J37" s="9">
        <f>IF(I37&lt;&gt;"Open","",IF(G37&lt;=0,"Current",IF(G37&lt;=30,"1-30",IF(G37&lt;=60,"31-60",IF(G37&lt;=90,"61-90","90+")))))</f>
        <v/>
      </c>
    </row>
    <row r="38">
      <c r="A38" s="8" t="n"/>
      <c r="B38" s="9" t="n"/>
      <c r="C38" s="9" t="n"/>
      <c r="D38" s="9" t="n"/>
      <c r="E38" s="10" t="n"/>
      <c r="F38" s="8" t="n"/>
      <c r="G38" s="9">
        <f>IF(I38="Settled","",MAX(0,TODAY()-F38))</f>
        <v/>
      </c>
      <c r="H38" s="9">
        <f>IF(E38="","",TEXT(E38,"0.00")&amp;"|"&amp;IF(B38="Invoice","AR","AP"))</f>
        <v/>
      </c>
      <c r="I38" s="9">
        <f>IF(H38="","",IF(COUNTIF(Bank!$F:$F,H38)&gt;0,"Settled","Open"))</f>
        <v/>
      </c>
      <c r="J38" s="9">
        <f>IF(I38&lt;&gt;"Open","",IF(G38&lt;=0,"Current",IF(G38&lt;=30,"1-30",IF(G38&lt;=60,"31-60",IF(G38&lt;=90,"61-90","90+")))))</f>
        <v/>
      </c>
    </row>
    <row r="39">
      <c r="A39" s="8" t="n"/>
      <c r="B39" s="9" t="n"/>
      <c r="C39" s="9" t="n"/>
      <c r="D39" s="9" t="n"/>
      <c r="E39" s="10" t="n"/>
      <c r="F39" s="8" t="n"/>
      <c r="G39" s="9">
        <f>IF(I39="Settled","",MAX(0,TODAY()-F39))</f>
        <v/>
      </c>
      <c r="H39" s="9">
        <f>IF(E39="","",TEXT(E39,"0.00")&amp;"|"&amp;IF(B39="Invoice","AR","AP"))</f>
        <v/>
      </c>
      <c r="I39" s="9">
        <f>IF(H39="","",IF(COUNTIF(Bank!$F:$F,H39)&gt;0,"Settled","Open"))</f>
        <v/>
      </c>
      <c r="J39" s="9">
        <f>IF(I39&lt;&gt;"Open","",IF(G39&lt;=0,"Current",IF(G39&lt;=30,"1-30",IF(G39&lt;=60,"31-60",IF(G39&lt;=90,"61-90","90+")))))</f>
        <v/>
      </c>
    </row>
    <row r="40">
      <c r="A40" s="8" t="n"/>
      <c r="B40" s="9" t="n"/>
      <c r="C40" s="9" t="n"/>
      <c r="D40" s="9" t="n"/>
      <c r="E40" s="10" t="n"/>
      <c r="F40" s="8" t="n"/>
      <c r="G40" s="9">
        <f>IF(I40="Settled","",MAX(0,TODAY()-F40))</f>
        <v/>
      </c>
      <c r="H40" s="9">
        <f>IF(E40="","",TEXT(E40,"0.00")&amp;"|"&amp;IF(B40="Invoice","AR","AP"))</f>
        <v/>
      </c>
      <c r="I40" s="9">
        <f>IF(H40="","",IF(COUNTIF(Bank!$F:$F,H40)&gt;0,"Settled","Open"))</f>
        <v/>
      </c>
      <c r="J40" s="9">
        <f>IF(I40&lt;&gt;"Open","",IF(G40&lt;=0,"Current",IF(G40&lt;=30,"1-30",IF(G40&lt;=60,"31-60",IF(G40&lt;=90,"61-90","90+")))))</f>
        <v/>
      </c>
    </row>
    <row r="41">
      <c r="A41" s="8" t="n"/>
      <c r="B41" s="9" t="n"/>
      <c r="C41" s="9" t="n"/>
      <c r="D41" s="9" t="n"/>
      <c r="E41" s="10" t="n"/>
      <c r="F41" s="8" t="n"/>
      <c r="G41" s="9">
        <f>IF(I41="Settled","",MAX(0,TODAY()-F41))</f>
        <v/>
      </c>
      <c r="H41" s="9">
        <f>IF(E41="","",TEXT(E41,"0.00")&amp;"|"&amp;IF(B41="Invoice","AR","AP"))</f>
        <v/>
      </c>
      <c r="I41" s="9">
        <f>IF(H41="","",IF(COUNTIF(Bank!$F:$F,H41)&gt;0,"Settled","Open"))</f>
        <v/>
      </c>
      <c r="J41" s="9">
        <f>IF(I41&lt;&gt;"Open","",IF(G41&lt;=0,"Current",IF(G41&lt;=30,"1-30",IF(G41&lt;=60,"31-60",IF(G41&lt;=90,"61-90","90+")))))</f>
        <v/>
      </c>
    </row>
    <row r="42">
      <c r="A42" s="8" t="n"/>
      <c r="B42" s="9" t="n"/>
      <c r="C42" s="9" t="n"/>
      <c r="D42" s="9" t="n"/>
      <c r="E42" s="10" t="n"/>
      <c r="F42" s="8" t="n"/>
      <c r="G42" s="9">
        <f>IF(I42="Settled","",MAX(0,TODAY()-F42))</f>
        <v/>
      </c>
      <c r="H42" s="9">
        <f>IF(E42="","",TEXT(E42,"0.00")&amp;"|"&amp;IF(B42="Invoice","AR","AP"))</f>
        <v/>
      </c>
      <c r="I42" s="9">
        <f>IF(H42="","",IF(COUNTIF(Bank!$F:$F,H42)&gt;0,"Settled","Open"))</f>
        <v/>
      </c>
      <c r="J42" s="9">
        <f>IF(I42&lt;&gt;"Open","",IF(G42&lt;=0,"Current",IF(G42&lt;=30,"1-30",IF(G42&lt;=60,"31-60",IF(G42&lt;=90,"61-90","90+")))))</f>
        <v/>
      </c>
    </row>
    <row r="43">
      <c r="A43" s="8" t="n"/>
      <c r="B43" s="9" t="n"/>
      <c r="C43" s="9" t="n"/>
      <c r="D43" s="9" t="n"/>
      <c r="E43" s="10" t="n"/>
      <c r="F43" s="8" t="n"/>
      <c r="G43" s="9">
        <f>IF(I43="Settled","",MAX(0,TODAY()-F43))</f>
        <v/>
      </c>
      <c r="H43" s="9">
        <f>IF(E43="","",TEXT(E43,"0.00")&amp;"|"&amp;IF(B43="Invoice","AR","AP"))</f>
        <v/>
      </c>
      <c r="I43" s="9">
        <f>IF(H43="","",IF(COUNTIF(Bank!$F:$F,H43)&gt;0,"Settled","Open"))</f>
        <v/>
      </c>
      <c r="J43" s="9">
        <f>IF(I43&lt;&gt;"Open","",IF(G43&lt;=0,"Current",IF(G43&lt;=30,"1-30",IF(G43&lt;=60,"31-60",IF(G43&lt;=90,"61-90","90+")))))</f>
        <v/>
      </c>
    </row>
    <row r="44">
      <c r="A44" s="8" t="n"/>
      <c r="B44" s="9" t="n"/>
      <c r="C44" s="9" t="n"/>
      <c r="D44" s="9" t="n"/>
      <c r="E44" s="10" t="n"/>
      <c r="F44" s="8" t="n"/>
      <c r="G44" s="9">
        <f>IF(I44="Settled","",MAX(0,TODAY()-F44))</f>
        <v/>
      </c>
      <c r="H44" s="9">
        <f>IF(E44="","",TEXT(E44,"0.00")&amp;"|"&amp;IF(B44="Invoice","AR","AP"))</f>
        <v/>
      </c>
      <c r="I44" s="9">
        <f>IF(H44="","",IF(COUNTIF(Bank!$F:$F,H44)&gt;0,"Settled","Open"))</f>
        <v/>
      </c>
      <c r="J44" s="9">
        <f>IF(I44&lt;&gt;"Open","",IF(G44&lt;=0,"Current",IF(G44&lt;=30,"1-30",IF(G44&lt;=60,"31-60",IF(G44&lt;=90,"61-90","90+")))))</f>
        <v/>
      </c>
    </row>
    <row r="45">
      <c r="A45" s="8" t="n"/>
      <c r="B45" s="9" t="n"/>
      <c r="C45" s="9" t="n"/>
      <c r="D45" s="9" t="n"/>
      <c r="E45" s="10" t="n"/>
      <c r="F45" s="8" t="n"/>
      <c r="G45" s="9">
        <f>IF(I45="Settled","",MAX(0,TODAY()-F45))</f>
        <v/>
      </c>
      <c r="H45" s="9">
        <f>IF(E45="","",TEXT(E45,"0.00")&amp;"|"&amp;IF(B45="Invoice","AR","AP"))</f>
        <v/>
      </c>
      <c r="I45" s="9">
        <f>IF(H45="","",IF(COUNTIF(Bank!$F:$F,H45)&gt;0,"Settled","Open"))</f>
        <v/>
      </c>
      <c r="J45" s="9">
        <f>IF(I45&lt;&gt;"Open","",IF(G45&lt;=0,"Current",IF(G45&lt;=30,"1-30",IF(G45&lt;=60,"31-60",IF(G45&lt;=90,"61-90","90+")))))</f>
        <v/>
      </c>
    </row>
    <row r="46">
      <c r="A46" s="8" t="n"/>
      <c r="B46" s="9" t="n"/>
      <c r="C46" s="9" t="n"/>
      <c r="D46" s="9" t="n"/>
      <c r="E46" s="10" t="n"/>
      <c r="F46" s="8" t="n"/>
      <c r="G46" s="9">
        <f>IF(I46="Settled","",MAX(0,TODAY()-F46))</f>
        <v/>
      </c>
      <c r="H46" s="9">
        <f>IF(E46="","",TEXT(E46,"0.00")&amp;"|"&amp;IF(B46="Invoice","AR","AP"))</f>
        <v/>
      </c>
      <c r="I46" s="9">
        <f>IF(H46="","",IF(COUNTIF(Bank!$F:$F,H46)&gt;0,"Settled","Open"))</f>
        <v/>
      </c>
      <c r="J46" s="9">
        <f>IF(I46&lt;&gt;"Open","",IF(G46&lt;=0,"Current",IF(G46&lt;=30,"1-30",IF(G46&lt;=60,"31-60",IF(G46&lt;=90,"61-90","90+")))))</f>
        <v/>
      </c>
    </row>
    <row r="47">
      <c r="A47" s="8" t="n"/>
      <c r="B47" s="9" t="n"/>
      <c r="C47" s="9" t="n"/>
      <c r="D47" s="9" t="n"/>
      <c r="E47" s="10" t="n"/>
      <c r="F47" s="8" t="n"/>
      <c r="G47" s="9">
        <f>IF(I47="Settled","",MAX(0,TODAY()-F47))</f>
        <v/>
      </c>
      <c r="H47" s="9">
        <f>IF(E47="","",TEXT(E47,"0.00")&amp;"|"&amp;IF(B47="Invoice","AR","AP"))</f>
        <v/>
      </c>
      <c r="I47" s="9">
        <f>IF(H47="","",IF(COUNTIF(Bank!$F:$F,H47)&gt;0,"Settled","Open"))</f>
        <v/>
      </c>
      <c r="J47" s="9">
        <f>IF(I47&lt;&gt;"Open","",IF(G47&lt;=0,"Current",IF(G47&lt;=30,"1-30",IF(G47&lt;=60,"31-60",IF(G47&lt;=90,"61-90","90+")))))</f>
        <v/>
      </c>
    </row>
    <row r="48">
      <c r="A48" s="8" t="n"/>
      <c r="B48" s="9" t="n"/>
      <c r="C48" s="9" t="n"/>
      <c r="D48" s="9" t="n"/>
      <c r="E48" s="10" t="n"/>
      <c r="F48" s="8" t="n"/>
      <c r="G48" s="9">
        <f>IF(I48="Settled","",MAX(0,TODAY()-F48))</f>
        <v/>
      </c>
      <c r="H48" s="9">
        <f>IF(E48="","",TEXT(E48,"0.00")&amp;"|"&amp;IF(B48="Invoice","AR","AP"))</f>
        <v/>
      </c>
      <c r="I48" s="9">
        <f>IF(H48="","",IF(COUNTIF(Bank!$F:$F,H48)&gt;0,"Settled","Open"))</f>
        <v/>
      </c>
      <c r="J48" s="9">
        <f>IF(I48&lt;&gt;"Open","",IF(G48&lt;=0,"Current",IF(G48&lt;=30,"1-30",IF(G48&lt;=60,"31-60",IF(G48&lt;=90,"61-90","90+")))))</f>
        <v/>
      </c>
    </row>
    <row r="49">
      <c r="A49" s="8" t="n"/>
      <c r="B49" s="9" t="n"/>
      <c r="C49" s="9" t="n"/>
      <c r="D49" s="9" t="n"/>
      <c r="E49" s="10" t="n"/>
      <c r="F49" s="8" t="n"/>
      <c r="G49" s="9">
        <f>IF(I49="Settled","",MAX(0,TODAY()-F49))</f>
        <v/>
      </c>
      <c r="H49" s="9">
        <f>IF(E49="","",TEXT(E49,"0.00")&amp;"|"&amp;IF(B49="Invoice","AR","AP"))</f>
        <v/>
      </c>
      <c r="I49" s="9">
        <f>IF(H49="","",IF(COUNTIF(Bank!$F:$F,H49)&gt;0,"Settled","Open"))</f>
        <v/>
      </c>
      <c r="J49" s="9">
        <f>IF(I49&lt;&gt;"Open","",IF(G49&lt;=0,"Current",IF(G49&lt;=30,"1-30",IF(G49&lt;=60,"31-60",IF(G49&lt;=90,"61-90","90+")))))</f>
        <v/>
      </c>
    </row>
    <row r="50">
      <c r="A50" s="8" t="n"/>
      <c r="B50" s="9" t="n"/>
      <c r="C50" s="9" t="n"/>
      <c r="D50" s="9" t="n"/>
      <c r="E50" s="10" t="n"/>
      <c r="F50" s="8" t="n"/>
      <c r="G50" s="9">
        <f>IF(I50="Settled","",MAX(0,TODAY()-F50))</f>
        <v/>
      </c>
      <c r="H50" s="9">
        <f>IF(E50="","",TEXT(E50,"0.00")&amp;"|"&amp;IF(B50="Invoice","AR","AP"))</f>
        <v/>
      </c>
      <c r="I50" s="9">
        <f>IF(H50="","",IF(COUNTIF(Bank!$F:$F,H50)&gt;0,"Settled","Open"))</f>
        <v/>
      </c>
      <c r="J50" s="9">
        <f>IF(I50&lt;&gt;"Open","",IF(G50&lt;=0,"Current",IF(G50&lt;=30,"1-30",IF(G50&lt;=60,"31-60",IF(G50&lt;=90,"61-90","90+")))))</f>
        <v/>
      </c>
    </row>
    <row r="51">
      <c r="A51" s="8" t="n"/>
      <c r="B51" s="9" t="n"/>
      <c r="C51" s="9" t="n"/>
      <c r="D51" s="9" t="n"/>
      <c r="E51" s="10" t="n"/>
      <c r="F51" s="8" t="n"/>
      <c r="G51" s="9">
        <f>IF(I51="Settled","",MAX(0,TODAY()-F51))</f>
        <v/>
      </c>
      <c r="H51" s="9">
        <f>IF(E51="","",TEXT(E51,"0.00")&amp;"|"&amp;IF(B51="Invoice","AR","AP"))</f>
        <v/>
      </c>
      <c r="I51" s="9">
        <f>IF(H51="","",IF(COUNTIF(Bank!$F:$F,H51)&gt;0,"Settled","Open"))</f>
        <v/>
      </c>
      <c r="J51" s="9">
        <f>IF(I51&lt;&gt;"Open","",IF(G51&lt;=0,"Current",IF(G51&lt;=30,"1-30",IF(G51&lt;=60,"31-60",IF(G51&lt;=90,"61-90","90+")))))</f>
        <v/>
      </c>
    </row>
    <row r="52">
      <c r="A52" s="8" t="n"/>
      <c r="B52" s="9" t="n"/>
      <c r="C52" s="9" t="n"/>
      <c r="D52" s="9" t="n"/>
      <c r="E52" s="10" t="n"/>
      <c r="F52" s="8" t="n"/>
      <c r="G52" s="9">
        <f>IF(I52="Settled","",MAX(0,TODAY()-F52))</f>
        <v/>
      </c>
      <c r="H52" s="9">
        <f>IF(E52="","",TEXT(E52,"0.00")&amp;"|"&amp;IF(B52="Invoice","AR","AP"))</f>
        <v/>
      </c>
      <c r="I52" s="9">
        <f>IF(H52="","",IF(COUNTIF(Bank!$F:$F,H52)&gt;0,"Settled","Open"))</f>
        <v/>
      </c>
      <c r="J52" s="9">
        <f>IF(I52&lt;&gt;"Open","",IF(G52&lt;=0,"Current",IF(G52&lt;=30,"1-30",IF(G52&lt;=60,"31-60",IF(G52&lt;=90,"61-90","90+")))))</f>
        <v/>
      </c>
    </row>
    <row r="53">
      <c r="A53" s="8" t="n"/>
      <c r="B53" s="9" t="n"/>
      <c r="C53" s="9" t="n"/>
      <c r="D53" s="9" t="n"/>
      <c r="E53" s="10" t="n"/>
      <c r="F53" s="8" t="n"/>
      <c r="G53" s="9">
        <f>IF(I53="Settled","",MAX(0,TODAY()-F53))</f>
        <v/>
      </c>
      <c r="H53" s="9">
        <f>IF(E53="","",TEXT(E53,"0.00")&amp;"|"&amp;IF(B53="Invoice","AR","AP"))</f>
        <v/>
      </c>
      <c r="I53" s="9">
        <f>IF(H53="","",IF(COUNTIF(Bank!$F:$F,H53)&gt;0,"Settled","Open"))</f>
        <v/>
      </c>
      <c r="J53" s="9">
        <f>IF(I53&lt;&gt;"Open","",IF(G53&lt;=0,"Current",IF(G53&lt;=30,"1-30",IF(G53&lt;=60,"31-60",IF(G53&lt;=90,"61-90","90+")))))</f>
        <v/>
      </c>
    </row>
    <row r="54">
      <c r="A54" s="8" t="n"/>
      <c r="B54" s="9" t="n"/>
      <c r="C54" s="9" t="n"/>
      <c r="D54" s="9" t="n"/>
      <c r="E54" s="10" t="n"/>
      <c r="F54" s="8" t="n"/>
      <c r="G54" s="9">
        <f>IF(I54="Settled","",MAX(0,TODAY()-F54))</f>
        <v/>
      </c>
      <c r="H54" s="9">
        <f>IF(E54="","",TEXT(E54,"0.00")&amp;"|"&amp;IF(B54="Invoice","AR","AP"))</f>
        <v/>
      </c>
      <c r="I54" s="9">
        <f>IF(H54="","",IF(COUNTIF(Bank!$F:$F,H54)&gt;0,"Settled","Open"))</f>
        <v/>
      </c>
      <c r="J54" s="9">
        <f>IF(I54&lt;&gt;"Open","",IF(G54&lt;=0,"Current",IF(G54&lt;=30,"1-30",IF(G54&lt;=60,"31-60",IF(G54&lt;=90,"61-90","90+")))))</f>
        <v/>
      </c>
    </row>
    <row r="55">
      <c r="A55" s="8" t="n"/>
      <c r="B55" s="9" t="n"/>
      <c r="C55" s="9" t="n"/>
      <c r="D55" s="9" t="n"/>
      <c r="E55" s="10" t="n"/>
      <c r="F55" s="8" t="n"/>
      <c r="G55" s="9">
        <f>IF(I55="Settled","",MAX(0,TODAY()-F55))</f>
        <v/>
      </c>
      <c r="H55" s="9">
        <f>IF(E55="","",TEXT(E55,"0.00")&amp;"|"&amp;IF(B55="Invoice","AR","AP"))</f>
        <v/>
      </c>
      <c r="I55" s="9">
        <f>IF(H55="","",IF(COUNTIF(Bank!$F:$F,H55)&gt;0,"Settled","Open"))</f>
        <v/>
      </c>
      <c r="J55" s="9">
        <f>IF(I55&lt;&gt;"Open","",IF(G55&lt;=0,"Current",IF(G55&lt;=30,"1-30",IF(G55&lt;=60,"31-60",IF(G55&lt;=90,"61-90","90+")))))</f>
        <v/>
      </c>
    </row>
    <row r="56">
      <c r="A56" s="8" t="n"/>
      <c r="B56" s="9" t="n"/>
      <c r="C56" s="9" t="n"/>
      <c r="D56" s="9" t="n"/>
      <c r="E56" s="10" t="n"/>
      <c r="F56" s="8" t="n"/>
      <c r="G56" s="9">
        <f>IF(I56="Settled","",MAX(0,TODAY()-F56))</f>
        <v/>
      </c>
      <c r="H56" s="9">
        <f>IF(E56="","",TEXT(E56,"0.00")&amp;"|"&amp;IF(B56="Invoice","AR","AP"))</f>
        <v/>
      </c>
      <c r="I56" s="9">
        <f>IF(H56="","",IF(COUNTIF(Bank!$F:$F,H56)&gt;0,"Settled","Open"))</f>
        <v/>
      </c>
      <c r="J56" s="9">
        <f>IF(I56&lt;&gt;"Open","",IF(G56&lt;=0,"Current",IF(G56&lt;=30,"1-30",IF(G56&lt;=60,"31-60",IF(G56&lt;=90,"61-90","90+")))))</f>
        <v/>
      </c>
    </row>
    <row r="57">
      <c r="A57" s="8" t="n"/>
      <c r="B57" s="9" t="n"/>
      <c r="C57" s="9" t="n"/>
      <c r="D57" s="9" t="n"/>
      <c r="E57" s="10" t="n"/>
      <c r="F57" s="8" t="n"/>
      <c r="G57" s="9">
        <f>IF(I57="Settled","",MAX(0,TODAY()-F57))</f>
        <v/>
      </c>
      <c r="H57" s="9">
        <f>IF(E57="","",TEXT(E57,"0.00")&amp;"|"&amp;IF(B57="Invoice","AR","AP"))</f>
        <v/>
      </c>
      <c r="I57" s="9">
        <f>IF(H57="","",IF(COUNTIF(Bank!$F:$F,H57)&gt;0,"Settled","Open"))</f>
        <v/>
      </c>
      <c r="J57" s="9">
        <f>IF(I57&lt;&gt;"Open","",IF(G57&lt;=0,"Current",IF(G57&lt;=30,"1-30",IF(G57&lt;=60,"31-60",IF(G57&lt;=90,"61-90","90+")))))</f>
        <v/>
      </c>
    </row>
    <row r="58">
      <c r="A58" s="8" t="n"/>
      <c r="B58" s="9" t="n"/>
      <c r="C58" s="9" t="n"/>
      <c r="D58" s="9" t="n"/>
      <c r="E58" s="10" t="n"/>
      <c r="F58" s="8" t="n"/>
      <c r="G58" s="9">
        <f>IF(I58="Settled","",MAX(0,TODAY()-F58))</f>
        <v/>
      </c>
      <c r="H58" s="9">
        <f>IF(E58="","",TEXT(E58,"0.00")&amp;"|"&amp;IF(B58="Invoice","AR","AP"))</f>
        <v/>
      </c>
      <c r="I58" s="9">
        <f>IF(H58="","",IF(COUNTIF(Bank!$F:$F,H58)&gt;0,"Settled","Open"))</f>
        <v/>
      </c>
      <c r="J58" s="9">
        <f>IF(I58&lt;&gt;"Open","",IF(G58&lt;=0,"Current",IF(G58&lt;=30,"1-30",IF(G58&lt;=60,"31-60",IF(G58&lt;=90,"61-90","90+")))))</f>
        <v/>
      </c>
    </row>
    <row r="59">
      <c r="A59" s="8" t="n"/>
      <c r="B59" s="9" t="n"/>
      <c r="C59" s="9" t="n"/>
      <c r="D59" s="9" t="n"/>
      <c r="E59" s="10" t="n"/>
      <c r="F59" s="8" t="n"/>
      <c r="G59" s="9">
        <f>IF(I59="Settled","",MAX(0,TODAY()-F59))</f>
        <v/>
      </c>
      <c r="H59" s="9">
        <f>IF(E59="","",TEXT(E59,"0.00")&amp;"|"&amp;IF(B59="Invoice","AR","AP"))</f>
        <v/>
      </c>
      <c r="I59" s="9">
        <f>IF(H59="","",IF(COUNTIF(Bank!$F:$F,H59)&gt;0,"Settled","Open"))</f>
        <v/>
      </c>
      <c r="J59" s="9">
        <f>IF(I59&lt;&gt;"Open","",IF(G59&lt;=0,"Current",IF(G59&lt;=30,"1-30",IF(G59&lt;=60,"31-60",IF(G59&lt;=90,"61-90","90+")))))</f>
        <v/>
      </c>
    </row>
    <row r="60">
      <c r="A60" s="8" t="n"/>
      <c r="B60" s="9" t="n"/>
      <c r="C60" s="9" t="n"/>
      <c r="D60" s="9" t="n"/>
      <c r="E60" s="10" t="n"/>
      <c r="F60" s="8" t="n"/>
      <c r="G60" s="9">
        <f>IF(I60="Settled","",MAX(0,TODAY()-F60))</f>
        <v/>
      </c>
      <c r="H60" s="9">
        <f>IF(E60="","",TEXT(E60,"0.00")&amp;"|"&amp;IF(B60="Invoice","AR","AP"))</f>
        <v/>
      </c>
      <c r="I60" s="9">
        <f>IF(H60="","",IF(COUNTIF(Bank!$F:$F,H60)&gt;0,"Settled","Open"))</f>
        <v/>
      </c>
      <c r="J60" s="9">
        <f>IF(I60&lt;&gt;"Open","",IF(G60&lt;=0,"Current",IF(G60&lt;=30,"1-30",IF(G60&lt;=60,"31-60",IF(G60&lt;=90,"61-90","90+")))))</f>
        <v/>
      </c>
    </row>
    <row r="61">
      <c r="A61" s="8" t="n"/>
      <c r="B61" s="9" t="n"/>
      <c r="C61" s="9" t="n"/>
      <c r="D61" s="9" t="n"/>
      <c r="E61" s="10" t="n"/>
      <c r="F61" s="8" t="n"/>
      <c r="G61" s="9">
        <f>IF(I61="Settled","",MAX(0,TODAY()-F61))</f>
        <v/>
      </c>
      <c r="H61" s="9">
        <f>IF(E61="","",TEXT(E61,"0.00")&amp;"|"&amp;IF(B61="Invoice","AR","AP"))</f>
        <v/>
      </c>
      <c r="I61" s="9">
        <f>IF(H61="","",IF(COUNTIF(Bank!$F:$F,H61)&gt;0,"Settled","Open"))</f>
        <v/>
      </c>
      <c r="J61" s="9">
        <f>IF(I61&lt;&gt;"Open","",IF(G61&lt;=0,"Current",IF(G61&lt;=30,"1-30",IF(G61&lt;=60,"31-60",IF(G61&lt;=90,"61-90","90+")))))</f>
        <v/>
      </c>
    </row>
    <row r="62">
      <c r="A62" s="8" t="n"/>
      <c r="B62" s="9" t="n"/>
      <c r="C62" s="9" t="n"/>
      <c r="D62" s="9" t="n"/>
      <c r="E62" s="10" t="n"/>
      <c r="F62" s="8" t="n"/>
      <c r="G62" s="9">
        <f>IF(I62="Settled","",MAX(0,TODAY()-F62))</f>
        <v/>
      </c>
      <c r="H62" s="9">
        <f>IF(E62="","",TEXT(E62,"0.00")&amp;"|"&amp;IF(B62="Invoice","AR","AP"))</f>
        <v/>
      </c>
      <c r="I62" s="9">
        <f>IF(H62="","",IF(COUNTIF(Bank!$F:$F,H62)&gt;0,"Settled","Open"))</f>
        <v/>
      </c>
      <c r="J62" s="9">
        <f>IF(I62&lt;&gt;"Open","",IF(G62&lt;=0,"Current",IF(G62&lt;=30,"1-30",IF(G62&lt;=60,"31-60",IF(G62&lt;=90,"61-90","90+")))))</f>
        <v/>
      </c>
    </row>
    <row r="63">
      <c r="A63" s="8" t="n"/>
      <c r="B63" s="9" t="n"/>
      <c r="C63" s="9" t="n"/>
      <c r="D63" s="9" t="n"/>
      <c r="E63" s="10" t="n"/>
      <c r="F63" s="8" t="n"/>
      <c r="G63" s="9">
        <f>IF(I63="Settled","",MAX(0,TODAY()-F63))</f>
        <v/>
      </c>
      <c r="H63" s="9">
        <f>IF(E63="","",TEXT(E63,"0.00")&amp;"|"&amp;IF(B63="Invoice","AR","AP"))</f>
        <v/>
      </c>
      <c r="I63" s="9">
        <f>IF(H63="","",IF(COUNTIF(Bank!$F:$F,H63)&gt;0,"Settled","Open"))</f>
        <v/>
      </c>
      <c r="J63" s="9">
        <f>IF(I63&lt;&gt;"Open","",IF(G63&lt;=0,"Current",IF(G63&lt;=30,"1-30",IF(G63&lt;=60,"31-60",IF(G63&lt;=90,"61-90","90+")))))</f>
        <v/>
      </c>
    </row>
    <row r="64">
      <c r="A64" s="8" t="n"/>
      <c r="B64" s="9" t="n"/>
      <c r="C64" s="9" t="n"/>
      <c r="D64" s="9" t="n"/>
      <c r="E64" s="10" t="n"/>
      <c r="F64" s="8" t="n"/>
      <c r="G64" s="9">
        <f>IF(I64="Settled","",MAX(0,TODAY()-F64))</f>
        <v/>
      </c>
      <c r="H64" s="9">
        <f>IF(E64="","",TEXT(E64,"0.00")&amp;"|"&amp;IF(B64="Invoice","AR","AP"))</f>
        <v/>
      </c>
      <c r="I64" s="9">
        <f>IF(H64="","",IF(COUNTIF(Bank!$F:$F,H64)&gt;0,"Settled","Open"))</f>
        <v/>
      </c>
      <c r="J64" s="9">
        <f>IF(I64&lt;&gt;"Open","",IF(G64&lt;=0,"Current",IF(G64&lt;=30,"1-30",IF(G64&lt;=60,"31-60",IF(G64&lt;=90,"61-90","90+")))))</f>
        <v/>
      </c>
    </row>
    <row r="65">
      <c r="A65" s="8" t="n"/>
      <c r="B65" s="9" t="n"/>
      <c r="C65" s="9" t="n"/>
      <c r="D65" s="9" t="n"/>
      <c r="E65" s="10" t="n"/>
      <c r="F65" s="8" t="n"/>
      <c r="G65" s="9">
        <f>IF(I65="Settled","",MAX(0,TODAY()-F65))</f>
        <v/>
      </c>
      <c r="H65" s="9">
        <f>IF(E65="","",TEXT(E65,"0.00")&amp;"|"&amp;IF(B65="Invoice","AR","AP"))</f>
        <v/>
      </c>
      <c r="I65" s="9">
        <f>IF(H65="","",IF(COUNTIF(Bank!$F:$F,H65)&gt;0,"Settled","Open"))</f>
        <v/>
      </c>
      <c r="J65" s="9">
        <f>IF(I65&lt;&gt;"Open","",IF(G65&lt;=0,"Current",IF(G65&lt;=30,"1-30",IF(G65&lt;=60,"31-60",IF(G65&lt;=90,"61-90","90+")))))</f>
        <v/>
      </c>
    </row>
    <row r="66">
      <c r="A66" s="8" t="n"/>
      <c r="B66" s="9" t="n"/>
      <c r="C66" s="9" t="n"/>
      <c r="D66" s="9" t="n"/>
      <c r="E66" s="10" t="n"/>
      <c r="F66" s="8" t="n"/>
      <c r="G66" s="9">
        <f>IF(I66="Settled","",MAX(0,TODAY()-F66))</f>
        <v/>
      </c>
      <c r="H66" s="9">
        <f>IF(E66="","",TEXT(E66,"0.00")&amp;"|"&amp;IF(B66="Invoice","AR","AP"))</f>
        <v/>
      </c>
      <c r="I66" s="9">
        <f>IF(H66="","",IF(COUNTIF(Bank!$F:$F,H66)&gt;0,"Settled","Open"))</f>
        <v/>
      </c>
      <c r="J66" s="9">
        <f>IF(I66&lt;&gt;"Open","",IF(G66&lt;=0,"Current",IF(G66&lt;=30,"1-30",IF(G66&lt;=60,"31-60",IF(G66&lt;=90,"61-90","90+")))))</f>
        <v/>
      </c>
    </row>
    <row r="67">
      <c r="A67" s="8" t="n"/>
      <c r="B67" s="9" t="n"/>
      <c r="C67" s="9" t="n"/>
      <c r="D67" s="9" t="n"/>
      <c r="E67" s="10" t="n"/>
      <c r="F67" s="8" t="n"/>
      <c r="G67" s="9">
        <f>IF(I67="Settled","",MAX(0,TODAY()-F67))</f>
        <v/>
      </c>
      <c r="H67" s="9">
        <f>IF(E67="","",TEXT(E67,"0.00")&amp;"|"&amp;IF(B67="Invoice","AR","AP"))</f>
        <v/>
      </c>
      <c r="I67" s="9">
        <f>IF(H67="","",IF(COUNTIF(Bank!$F:$F,H67)&gt;0,"Settled","Open"))</f>
        <v/>
      </c>
      <c r="J67" s="9">
        <f>IF(I67&lt;&gt;"Open","",IF(G67&lt;=0,"Current",IF(G67&lt;=30,"1-30",IF(G67&lt;=60,"31-60",IF(G67&lt;=90,"61-90","90+")))))</f>
        <v/>
      </c>
    </row>
    <row r="68">
      <c r="A68" s="8" t="n"/>
      <c r="B68" s="9" t="n"/>
      <c r="C68" s="9" t="n"/>
      <c r="D68" s="9" t="n"/>
      <c r="E68" s="10" t="n"/>
      <c r="F68" s="8" t="n"/>
      <c r="G68" s="9">
        <f>IF(I68="Settled","",MAX(0,TODAY()-F68))</f>
        <v/>
      </c>
      <c r="H68" s="9">
        <f>IF(E68="","",TEXT(E68,"0.00")&amp;"|"&amp;IF(B68="Invoice","AR","AP"))</f>
        <v/>
      </c>
      <c r="I68" s="9">
        <f>IF(H68="","",IF(COUNTIF(Bank!$F:$F,H68)&gt;0,"Settled","Open"))</f>
        <v/>
      </c>
      <c r="J68" s="9">
        <f>IF(I68&lt;&gt;"Open","",IF(G68&lt;=0,"Current",IF(G68&lt;=30,"1-30",IF(G68&lt;=60,"31-60",IF(G68&lt;=90,"61-90","90+")))))</f>
        <v/>
      </c>
    </row>
    <row r="69">
      <c r="A69" s="8" t="n"/>
      <c r="B69" s="9" t="n"/>
      <c r="C69" s="9" t="n"/>
      <c r="D69" s="9" t="n"/>
      <c r="E69" s="10" t="n"/>
      <c r="F69" s="8" t="n"/>
      <c r="G69" s="9">
        <f>IF(I69="Settled","",MAX(0,TODAY()-F69))</f>
        <v/>
      </c>
      <c r="H69" s="9">
        <f>IF(E69="","",TEXT(E69,"0.00")&amp;"|"&amp;IF(B69="Invoice","AR","AP"))</f>
        <v/>
      </c>
      <c r="I69" s="9">
        <f>IF(H69="","",IF(COUNTIF(Bank!$F:$F,H69)&gt;0,"Settled","Open"))</f>
        <v/>
      </c>
      <c r="J69" s="9">
        <f>IF(I69&lt;&gt;"Open","",IF(G69&lt;=0,"Current",IF(G69&lt;=30,"1-30",IF(G69&lt;=60,"31-60",IF(G69&lt;=90,"61-90","90+")))))</f>
        <v/>
      </c>
    </row>
    <row r="70">
      <c r="A70" s="8" t="n"/>
      <c r="B70" s="9" t="n"/>
      <c r="C70" s="9" t="n"/>
      <c r="D70" s="9" t="n"/>
      <c r="E70" s="10" t="n"/>
      <c r="F70" s="8" t="n"/>
      <c r="G70" s="9">
        <f>IF(I70="Settled","",MAX(0,TODAY()-F70))</f>
        <v/>
      </c>
      <c r="H70" s="9">
        <f>IF(E70="","",TEXT(E70,"0.00")&amp;"|"&amp;IF(B70="Invoice","AR","AP"))</f>
        <v/>
      </c>
      <c r="I70" s="9">
        <f>IF(H70="","",IF(COUNTIF(Bank!$F:$F,H70)&gt;0,"Settled","Open"))</f>
        <v/>
      </c>
      <c r="J70" s="9">
        <f>IF(I70&lt;&gt;"Open","",IF(G70&lt;=0,"Current",IF(G70&lt;=30,"1-30",IF(G70&lt;=60,"31-60",IF(G70&lt;=90,"61-90","90+")))))</f>
        <v/>
      </c>
    </row>
    <row r="71">
      <c r="A71" s="8" t="n"/>
      <c r="B71" s="9" t="n"/>
      <c r="C71" s="9" t="n"/>
      <c r="D71" s="9" t="n"/>
      <c r="E71" s="10" t="n"/>
      <c r="F71" s="8" t="n"/>
      <c r="G71" s="9">
        <f>IF(I71="Settled","",MAX(0,TODAY()-F71))</f>
        <v/>
      </c>
      <c r="H71" s="9">
        <f>IF(E71="","",TEXT(E71,"0.00")&amp;"|"&amp;IF(B71="Invoice","AR","AP"))</f>
        <v/>
      </c>
      <c r="I71" s="9">
        <f>IF(H71="","",IF(COUNTIF(Bank!$F:$F,H71)&gt;0,"Settled","Open"))</f>
        <v/>
      </c>
      <c r="J71" s="9">
        <f>IF(I71&lt;&gt;"Open","",IF(G71&lt;=0,"Current",IF(G71&lt;=30,"1-30",IF(G71&lt;=60,"31-60",IF(G71&lt;=90,"61-90","90+")))))</f>
        <v/>
      </c>
    </row>
    <row r="72">
      <c r="A72" s="8" t="n"/>
      <c r="B72" s="9" t="n"/>
      <c r="C72" s="9" t="n"/>
      <c r="D72" s="9" t="n"/>
      <c r="E72" s="10" t="n"/>
      <c r="F72" s="8" t="n"/>
      <c r="G72" s="9">
        <f>IF(I72="Settled","",MAX(0,TODAY()-F72))</f>
        <v/>
      </c>
      <c r="H72" s="9">
        <f>IF(E72="","",TEXT(E72,"0.00")&amp;"|"&amp;IF(B72="Invoice","AR","AP"))</f>
        <v/>
      </c>
      <c r="I72" s="9">
        <f>IF(H72="","",IF(COUNTIF(Bank!$F:$F,H72)&gt;0,"Settled","Open"))</f>
        <v/>
      </c>
      <c r="J72" s="9">
        <f>IF(I72&lt;&gt;"Open","",IF(G72&lt;=0,"Current",IF(G72&lt;=30,"1-30",IF(G72&lt;=60,"31-60",IF(G72&lt;=90,"61-90","90+")))))</f>
        <v/>
      </c>
    </row>
    <row r="73">
      <c r="A73" s="8" t="n"/>
      <c r="B73" s="9" t="n"/>
      <c r="C73" s="9" t="n"/>
      <c r="D73" s="9" t="n"/>
      <c r="E73" s="10" t="n"/>
      <c r="F73" s="8" t="n"/>
      <c r="G73" s="9">
        <f>IF(I73="Settled","",MAX(0,TODAY()-F73))</f>
        <v/>
      </c>
      <c r="H73" s="9">
        <f>IF(E73="","",TEXT(E73,"0.00")&amp;"|"&amp;IF(B73="Invoice","AR","AP"))</f>
        <v/>
      </c>
      <c r="I73" s="9">
        <f>IF(H73="","",IF(COUNTIF(Bank!$F:$F,H73)&gt;0,"Settled","Open"))</f>
        <v/>
      </c>
      <c r="J73" s="9">
        <f>IF(I73&lt;&gt;"Open","",IF(G73&lt;=0,"Current",IF(G73&lt;=30,"1-30",IF(G73&lt;=60,"31-60",IF(G73&lt;=90,"61-90","90+")))))</f>
        <v/>
      </c>
    </row>
    <row r="74">
      <c r="A74" s="8" t="n"/>
      <c r="B74" s="9" t="n"/>
      <c r="C74" s="9" t="n"/>
      <c r="D74" s="9" t="n"/>
      <c r="E74" s="10" t="n"/>
      <c r="F74" s="8" t="n"/>
      <c r="G74" s="9">
        <f>IF(I74="Settled","",MAX(0,TODAY()-F74))</f>
        <v/>
      </c>
      <c r="H74" s="9">
        <f>IF(E74="","",TEXT(E74,"0.00")&amp;"|"&amp;IF(B74="Invoice","AR","AP"))</f>
        <v/>
      </c>
      <c r="I74" s="9">
        <f>IF(H74="","",IF(COUNTIF(Bank!$F:$F,H74)&gt;0,"Settled","Open"))</f>
        <v/>
      </c>
      <c r="J74" s="9">
        <f>IF(I74&lt;&gt;"Open","",IF(G74&lt;=0,"Current",IF(G74&lt;=30,"1-30",IF(G74&lt;=60,"31-60",IF(G74&lt;=90,"61-90","90+")))))</f>
        <v/>
      </c>
    </row>
    <row r="75">
      <c r="A75" s="8" t="n"/>
      <c r="B75" s="9" t="n"/>
      <c r="C75" s="9" t="n"/>
      <c r="D75" s="9" t="n"/>
      <c r="E75" s="10" t="n"/>
      <c r="F75" s="8" t="n"/>
      <c r="G75" s="9">
        <f>IF(I75="Settled","",MAX(0,TODAY()-F75))</f>
        <v/>
      </c>
      <c r="H75" s="9">
        <f>IF(E75="","",TEXT(E75,"0.00")&amp;"|"&amp;IF(B75="Invoice","AR","AP"))</f>
        <v/>
      </c>
      <c r="I75" s="9">
        <f>IF(H75="","",IF(COUNTIF(Bank!$F:$F,H75)&gt;0,"Settled","Open"))</f>
        <v/>
      </c>
      <c r="J75" s="9">
        <f>IF(I75&lt;&gt;"Open","",IF(G75&lt;=0,"Current",IF(G75&lt;=30,"1-30",IF(G75&lt;=60,"31-60",IF(G75&lt;=90,"61-90","90+")))))</f>
        <v/>
      </c>
    </row>
    <row r="76">
      <c r="A76" s="8" t="n"/>
      <c r="B76" s="9" t="n"/>
      <c r="C76" s="9" t="n"/>
      <c r="D76" s="9" t="n"/>
      <c r="E76" s="10" t="n"/>
      <c r="F76" s="8" t="n"/>
      <c r="G76" s="9">
        <f>IF(I76="Settled","",MAX(0,TODAY()-F76))</f>
        <v/>
      </c>
      <c r="H76" s="9">
        <f>IF(E76="","",TEXT(E76,"0.00")&amp;"|"&amp;IF(B76="Invoice","AR","AP"))</f>
        <v/>
      </c>
      <c r="I76" s="9">
        <f>IF(H76="","",IF(COUNTIF(Bank!$F:$F,H76)&gt;0,"Settled","Open"))</f>
        <v/>
      </c>
      <c r="J76" s="9">
        <f>IF(I76&lt;&gt;"Open","",IF(G76&lt;=0,"Current",IF(G76&lt;=30,"1-30",IF(G76&lt;=60,"31-60",IF(G76&lt;=90,"61-90","90+")))))</f>
        <v/>
      </c>
    </row>
    <row r="77">
      <c r="A77" s="8" t="n"/>
      <c r="B77" s="9" t="n"/>
      <c r="C77" s="9" t="n"/>
      <c r="D77" s="9" t="n"/>
      <c r="E77" s="10" t="n"/>
      <c r="F77" s="8" t="n"/>
      <c r="G77" s="9">
        <f>IF(I77="Settled","",MAX(0,TODAY()-F77))</f>
        <v/>
      </c>
      <c r="H77" s="9">
        <f>IF(E77="","",TEXT(E77,"0.00")&amp;"|"&amp;IF(B77="Invoice","AR","AP"))</f>
        <v/>
      </c>
      <c r="I77" s="9">
        <f>IF(H77="","",IF(COUNTIF(Bank!$F:$F,H77)&gt;0,"Settled","Open"))</f>
        <v/>
      </c>
      <c r="J77" s="9">
        <f>IF(I77&lt;&gt;"Open","",IF(G77&lt;=0,"Current",IF(G77&lt;=30,"1-30",IF(G77&lt;=60,"31-60",IF(G77&lt;=90,"61-90","90+")))))</f>
        <v/>
      </c>
    </row>
    <row r="78">
      <c r="A78" s="8" t="n"/>
      <c r="B78" s="9" t="n"/>
      <c r="C78" s="9" t="n"/>
      <c r="D78" s="9" t="n"/>
      <c r="E78" s="10" t="n"/>
      <c r="F78" s="8" t="n"/>
      <c r="G78" s="9">
        <f>IF(I78="Settled","",MAX(0,TODAY()-F78))</f>
        <v/>
      </c>
      <c r="H78" s="9">
        <f>IF(E78="","",TEXT(E78,"0.00")&amp;"|"&amp;IF(B78="Invoice","AR","AP"))</f>
        <v/>
      </c>
      <c r="I78" s="9">
        <f>IF(H78="","",IF(COUNTIF(Bank!$F:$F,H78)&gt;0,"Settled","Open"))</f>
        <v/>
      </c>
      <c r="J78" s="9">
        <f>IF(I78&lt;&gt;"Open","",IF(G78&lt;=0,"Current",IF(G78&lt;=30,"1-30",IF(G78&lt;=60,"31-60",IF(G78&lt;=90,"61-90","90+")))))</f>
        <v/>
      </c>
    </row>
    <row r="79">
      <c r="A79" s="8" t="n"/>
      <c r="B79" s="9" t="n"/>
      <c r="C79" s="9" t="n"/>
      <c r="D79" s="9" t="n"/>
      <c r="E79" s="10" t="n"/>
      <c r="F79" s="8" t="n"/>
      <c r="G79" s="9">
        <f>IF(I79="Settled","",MAX(0,TODAY()-F79))</f>
        <v/>
      </c>
      <c r="H79" s="9">
        <f>IF(E79="","",TEXT(E79,"0.00")&amp;"|"&amp;IF(B79="Invoice","AR","AP"))</f>
        <v/>
      </c>
      <c r="I79" s="9">
        <f>IF(H79="","",IF(COUNTIF(Bank!$F:$F,H79)&gt;0,"Settled","Open"))</f>
        <v/>
      </c>
      <c r="J79" s="9">
        <f>IF(I79&lt;&gt;"Open","",IF(G79&lt;=0,"Current",IF(G79&lt;=30,"1-30",IF(G79&lt;=60,"31-60",IF(G79&lt;=90,"61-90","90+")))))</f>
        <v/>
      </c>
    </row>
    <row r="80">
      <c r="A80" s="8" t="n"/>
      <c r="B80" s="9" t="n"/>
      <c r="C80" s="9" t="n"/>
      <c r="D80" s="9" t="n"/>
      <c r="E80" s="10" t="n"/>
      <c r="F80" s="8" t="n"/>
      <c r="G80" s="9">
        <f>IF(I80="Settled","",MAX(0,TODAY()-F80))</f>
        <v/>
      </c>
      <c r="H80" s="9">
        <f>IF(E80="","",TEXT(E80,"0.00")&amp;"|"&amp;IF(B80="Invoice","AR","AP"))</f>
        <v/>
      </c>
      <c r="I80" s="9">
        <f>IF(H80="","",IF(COUNTIF(Bank!$F:$F,H80)&gt;0,"Settled","Open"))</f>
        <v/>
      </c>
      <c r="J80" s="9">
        <f>IF(I80&lt;&gt;"Open","",IF(G80&lt;=0,"Current",IF(G80&lt;=30,"1-30",IF(G80&lt;=60,"31-60",IF(G80&lt;=90,"61-90","90+")))))</f>
        <v/>
      </c>
    </row>
    <row r="81">
      <c r="A81" s="8" t="n"/>
      <c r="B81" s="9" t="n"/>
      <c r="C81" s="9" t="n"/>
      <c r="D81" s="9" t="n"/>
      <c r="E81" s="10" t="n"/>
      <c r="F81" s="8" t="n"/>
      <c r="G81" s="9">
        <f>IF(I81="Settled","",MAX(0,TODAY()-F81))</f>
        <v/>
      </c>
      <c r="H81" s="9">
        <f>IF(E81="","",TEXT(E81,"0.00")&amp;"|"&amp;IF(B81="Invoice","AR","AP"))</f>
        <v/>
      </c>
      <c r="I81" s="9">
        <f>IF(H81="","",IF(COUNTIF(Bank!$F:$F,H81)&gt;0,"Settled","Open"))</f>
        <v/>
      </c>
      <c r="J81" s="9">
        <f>IF(I81&lt;&gt;"Open","",IF(G81&lt;=0,"Current",IF(G81&lt;=30,"1-30",IF(G81&lt;=60,"31-60",IF(G81&lt;=90,"61-90","90+")))))</f>
        <v/>
      </c>
    </row>
    <row r="82">
      <c r="A82" s="8" t="n"/>
      <c r="B82" s="9" t="n"/>
      <c r="C82" s="9" t="n"/>
      <c r="D82" s="9" t="n"/>
      <c r="E82" s="10" t="n"/>
      <c r="F82" s="8" t="n"/>
      <c r="G82" s="9">
        <f>IF(I82="Settled","",MAX(0,TODAY()-F82))</f>
        <v/>
      </c>
      <c r="H82" s="9">
        <f>IF(E82="","",TEXT(E82,"0.00")&amp;"|"&amp;IF(B82="Invoice","AR","AP"))</f>
        <v/>
      </c>
      <c r="I82" s="9">
        <f>IF(H82="","",IF(COUNTIF(Bank!$F:$F,H82)&gt;0,"Settled","Open"))</f>
        <v/>
      </c>
      <c r="J82" s="9">
        <f>IF(I82&lt;&gt;"Open","",IF(G82&lt;=0,"Current",IF(G82&lt;=30,"1-30",IF(G82&lt;=60,"31-60",IF(G82&lt;=90,"61-90","90+")))))</f>
        <v/>
      </c>
    </row>
    <row r="83">
      <c r="A83" s="8" t="n"/>
      <c r="B83" s="9" t="n"/>
      <c r="C83" s="9" t="n"/>
      <c r="D83" s="9" t="n"/>
      <c r="E83" s="10" t="n"/>
      <c r="F83" s="8" t="n"/>
      <c r="G83" s="9">
        <f>IF(I83="Settled","",MAX(0,TODAY()-F83))</f>
        <v/>
      </c>
      <c r="H83" s="9">
        <f>IF(E83="","",TEXT(E83,"0.00")&amp;"|"&amp;IF(B83="Invoice","AR","AP"))</f>
        <v/>
      </c>
      <c r="I83" s="9">
        <f>IF(H83="","",IF(COUNTIF(Bank!$F:$F,H83)&gt;0,"Settled","Open"))</f>
        <v/>
      </c>
      <c r="J83" s="9">
        <f>IF(I83&lt;&gt;"Open","",IF(G83&lt;=0,"Current",IF(G83&lt;=30,"1-30",IF(G83&lt;=60,"31-60",IF(G83&lt;=90,"61-90","90+")))))</f>
        <v/>
      </c>
    </row>
    <row r="84">
      <c r="A84" s="8" t="n"/>
      <c r="B84" s="9" t="n"/>
      <c r="C84" s="9" t="n"/>
      <c r="D84" s="9" t="n"/>
      <c r="E84" s="10" t="n"/>
      <c r="F84" s="8" t="n"/>
      <c r="G84" s="9">
        <f>IF(I84="Settled","",MAX(0,TODAY()-F84))</f>
        <v/>
      </c>
      <c r="H84" s="9">
        <f>IF(E84="","",TEXT(E84,"0.00")&amp;"|"&amp;IF(B84="Invoice","AR","AP"))</f>
        <v/>
      </c>
      <c r="I84" s="9">
        <f>IF(H84="","",IF(COUNTIF(Bank!$F:$F,H84)&gt;0,"Settled","Open"))</f>
        <v/>
      </c>
      <c r="J84" s="9">
        <f>IF(I84&lt;&gt;"Open","",IF(G84&lt;=0,"Current",IF(G84&lt;=30,"1-30",IF(G84&lt;=60,"31-60",IF(G84&lt;=90,"61-90","90+")))))</f>
        <v/>
      </c>
    </row>
    <row r="85">
      <c r="A85" s="8" t="n"/>
      <c r="B85" s="9" t="n"/>
      <c r="C85" s="9" t="n"/>
      <c r="D85" s="9" t="n"/>
      <c r="E85" s="10" t="n"/>
      <c r="F85" s="8" t="n"/>
      <c r="G85" s="9">
        <f>IF(I85="Settled","",MAX(0,TODAY()-F85))</f>
        <v/>
      </c>
      <c r="H85" s="9">
        <f>IF(E85="","",TEXT(E85,"0.00")&amp;"|"&amp;IF(B85="Invoice","AR","AP"))</f>
        <v/>
      </c>
      <c r="I85" s="9">
        <f>IF(H85="","",IF(COUNTIF(Bank!$F:$F,H85)&gt;0,"Settled","Open"))</f>
        <v/>
      </c>
      <c r="J85" s="9">
        <f>IF(I85&lt;&gt;"Open","",IF(G85&lt;=0,"Current",IF(G85&lt;=30,"1-30",IF(G85&lt;=60,"31-60",IF(G85&lt;=90,"61-90","90+")))))</f>
        <v/>
      </c>
    </row>
    <row r="86">
      <c r="A86" s="8" t="n"/>
      <c r="B86" s="9" t="n"/>
      <c r="C86" s="9" t="n"/>
      <c r="D86" s="9" t="n"/>
      <c r="E86" s="10" t="n"/>
      <c r="F86" s="8" t="n"/>
      <c r="G86" s="9">
        <f>IF(I86="Settled","",MAX(0,TODAY()-F86))</f>
        <v/>
      </c>
      <c r="H86" s="9">
        <f>IF(E86="","",TEXT(E86,"0.00")&amp;"|"&amp;IF(B86="Invoice","AR","AP"))</f>
        <v/>
      </c>
      <c r="I86" s="9">
        <f>IF(H86="","",IF(COUNTIF(Bank!$F:$F,H86)&gt;0,"Settled","Open"))</f>
        <v/>
      </c>
      <c r="J86" s="9">
        <f>IF(I86&lt;&gt;"Open","",IF(G86&lt;=0,"Current",IF(G86&lt;=30,"1-30",IF(G86&lt;=60,"31-60",IF(G86&lt;=90,"61-90","90+")))))</f>
        <v/>
      </c>
    </row>
    <row r="87">
      <c r="A87" s="8" t="n"/>
      <c r="B87" s="9" t="n"/>
      <c r="C87" s="9" t="n"/>
      <c r="D87" s="9" t="n"/>
      <c r="E87" s="10" t="n"/>
      <c r="F87" s="8" t="n"/>
      <c r="G87" s="9">
        <f>IF(I87="Settled","",MAX(0,TODAY()-F87))</f>
        <v/>
      </c>
      <c r="H87" s="9">
        <f>IF(E87="","",TEXT(E87,"0.00")&amp;"|"&amp;IF(B87="Invoice","AR","AP"))</f>
        <v/>
      </c>
      <c r="I87" s="9">
        <f>IF(H87="","",IF(COUNTIF(Bank!$F:$F,H87)&gt;0,"Settled","Open"))</f>
        <v/>
      </c>
      <c r="J87" s="9">
        <f>IF(I87&lt;&gt;"Open","",IF(G87&lt;=0,"Current",IF(G87&lt;=30,"1-30",IF(G87&lt;=60,"31-60",IF(G87&lt;=90,"61-90","90+")))))</f>
        <v/>
      </c>
    </row>
    <row r="88">
      <c r="A88" s="8" t="n"/>
      <c r="B88" s="9" t="n"/>
      <c r="C88" s="9" t="n"/>
      <c r="D88" s="9" t="n"/>
      <c r="E88" s="10" t="n"/>
      <c r="F88" s="8" t="n"/>
      <c r="G88" s="9">
        <f>IF(I88="Settled","",MAX(0,TODAY()-F88))</f>
        <v/>
      </c>
      <c r="H88" s="9">
        <f>IF(E88="","",TEXT(E88,"0.00")&amp;"|"&amp;IF(B88="Invoice","AR","AP"))</f>
        <v/>
      </c>
      <c r="I88" s="9">
        <f>IF(H88="","",IF(COUNTIF(Bank!$F:$F,H88)&gt;0,"Settled","Open"))</f>
        <v/>
      </c>
      <c r="J88" s="9">
        <f>IF(I88&lt;&gt;"Open","",IF(G88&lt;=0,"Current",IF(G88&lt;=30,"1-30",IF(G88&lt;=60,"31-60",IF(G88&lt;=90,"61-90","90+")))))</f>
        <v/>
      </c>
    </row>
    <row r="89">
      <c r="A89" s="8" t="n"/>
      <c r="B89" s="9" t="n"/>
      <c r="C89" s="9" t="n"/>
      <c r="D89" s="9" t="n"/>
      <c r="E89" s="10" t="n"/>
      <c r="F89" s="8" t="n"/>
      <c r="G89" s="9">
        <f>IF(I89="Settled","",MAX(0,TODAY()-F89))</f>
        <v/>
      </c>
      <c r="H89" s="9">
        <f>IF(E89="","",TEXT(E89,"0.00")&amp;"|"&amp;IF(B89="Invoice","AR","AP"))</f>
        <v/>
      </c>
      <c r="I89" s="9">
        <f>IF(H89="","",IF(COUNTIF(Bank!$F:$F,H89)&gt;0,"Settled","Open"))</f>
        <v/>
      </c>
      <c r="J89" s="9">
        <f>IF(I89&lt;&gt;"Open","",IF(G89&lt;=0,"Current",IF(G89&lt;=30,"1-30",IF(G89&lt;=60,"31-60",IF(G89&lt;=90,"61-90","90+")))))</f>
        <v/>
      </c>
    </row>
    <row r="90">
      <c r="A90" s="8" t="n"/>
      <c r="B90" s="9" t="n"/>
      <c r="C90" s="9" t="n"/>
      <c r="D90" s="9" t="n"/>
      <c r="E90" s="10" t="n"/>
      <c r="F90" s="8" t="n"/>
      <c r="G90" s="9">
        <f>IF(I90="Settled","",MAX(0,TODAY()-F90))</f>
        <v/>
      </c>
      <c r="H90" s="9">
        <f>IF(E90="","",TEXT(E90,"0.00")&amp;"|"&amp;IF(B90="Invoice","AR","AP"))</f>
        <v/>
      </c>
      <c r="I90" s="9">
        <f>IF(H90="","",IF(COUNTIF(Bank!$F:$F,H90)&gt;0,"Settled","Open"))</f>
        <v/>
      </c>
      <c r="J90" s="9">
        <f>IF(I90&lt;&gt;"Open","",IF(G90&lt;=0,"Current",IF(G90&lt;=30,"1-30",IF(G90&lt;=60,"31-60",IF(G90&lt;=90,"61-90","90+")))))</f>
        <v/>
      </c>
    </row>
    <row r="91">
      <c r="A91" s="8" t="n"/>
      <c r="B91" s="9" t="n"/>
      <c r="C91" s="9" t="n"/>
      <c r="D91" s="9" t="n"/>
      <c r="E91" s="10" t="n"/>
      <c r="F91" s="8" t="n"/>
      <c r="G91" s="9">
        <f>IF(I91="Settled","",MAX(0,TODAY()-F91))</f>
        <v/>
      </c>
      <c r="H91" s="9">
        <f>IF(E91="","",TEXT(E91,"0.00")&amp;"|"&amp;IF(B91="Invoice","AR","AP"))</f>
        <v/>
      </c>
      <c r="I91" s="9">
        <f>IF(H91="","",IF(COUNTIF(Bank!$F:$F,H91)&gt;0,"Settled","Open"))</f>
        <v/>
      </c>
      <c r="J91" s="9">
        <f>IF(I91&lt;&gt;"Open","",IF(G91&lt;=0,"Current",IF(G91&lt;=30,"1-30",IF(G91&lt;=60,"31-60",IF(G91&lt;=90,"61-90","90+")))))</f>
        <v/>
      </c>
    </row>
    <row r="92">
      <c r="A92" s="8" t="n"/>
      <c r="B92" s="9" t="n"/>
      <c r="C92" s="9" t="n"/>
      <c r="D92" s="9" t="n"/>
      <c r="E92" s="10" t="n"/>
      <c r="F92" s="8" t="n"/>
      <c r="G92" s="9">
        <f>IF(I92="Settled","",MAX(0,TODAY()-F92))</f>
        <v/>
      </c>
      <c r="H92" s="9">
        <f>IF(E92="","",TEXT(E92,"0.00")&amp;"|"&amp;IF(B92="Invoice","AR","AP"))</f>
        <v/>
      </c>
      <c r="I92" s="9">
        <f>IF(H92="","",IF(COUNTIF(Bank!$F:$F,H92)&gt;0,"Settled","Open"))</f>
        <v/>
      </c>
      <c r="J92" s="9">
        <f>IF(I92&lt;&gt;"Open","",IF(G92&lt;=0,"Current",IF(G92&lt;=30,"1-30",IF(G92&lt;=60,"31-60",IF(G92&lt;=90,"61-90","90+")))))</f>
        <v/>
      </c>
    </row>
    <row r="93">
      <c r="A93" s="8" t="n"/>
      <c r="B93" s="9" t="n"/>
      <c r="C93" s="9" t="n"/>
      <c r="D93" s="9" t="n"/>
      <c r="E93" s="10" t="n"/>
      <c r="F93" s="8" t="n"/>
      <c r="G93" s="9">
        <f>IF(I93="Settled","",MAX(0,TODAY()-F93))</f>
        <v/>
      </c>
      <c r="H93" s="9">
        <f>IF(E93="","",TEXT(E93,"0.00")&amp;"|"&amp;IF(B93="Invoice","AR","AP"))</f>
        <v/>
      </c>
      <c r="I93" s="9">
        <f>IF(H93="","",IF(COUNTIF(Bank!$F:$F,H93)&gt;0,"Settled","Open"))</f>
        <v/>
      </c>
      <c r="J93" s="9">
        <f>IF(I93&lt;&gt;"Open","",IF(G93&lt;=0,"Current",IF(G93&lt;=30,"1-30",IF(G93&lt;=60,"31-60",IF(G93&lt;=90,"61-90","90+")))))</f>
        <v/>
      </c>
    </row>
    <row r="94">
      <c r="A94" s="8" t="n"/>
      <c r="B94" s="9" t="n"/>
      <c r="C94" s="9" t="n"/>
      <c r="D94" s="9" t="n"/>
      <c r="E94" s="10" t="n"/>
      <c r="F94" s="8" t="n"/>
      <c r="G94" s="9">
        <f>IF(I94="Settled","",MAX(0,TODAY()-F94))</f>
        <v/>
      </c>
      <c r="H94" s="9">
        <f>IF(E94="","",TEXT(E94,"0.00")&amp;"|"&amp;IF(B94="Invoice","AR","AP"))</f>
        <v/>
      </c>
      <c r="I94" s="9">
        <f>IF(H94="","",IF(COUNTIF(Bank!$F:$F,H94)&gt;0,"Settled","Open"))</f>
        <v/>
      </c>
      <c r="J94" s="9">
        <f>IF(I94&lt;&gt;"Open","",IF(G94&lt;=0,"Current",IF(G94&lt;=30,"1-30",IF(G94&lt;=60,"31-60",IF(G94&lt;=90,"61-90","90+")))))</f>
        <v/>
      </c>
    </row>
    <row r="95">
      <c r="A95" s="8" t="n"/>
      <c r="B95" s="9" t="n"/>
      <c r="C95" s="9" t="n"/>
      <c r="D95" s="9" t="n"/>
      <c r="E95" s="10" t="n"/>
      <c r="F95" s="8" t="n"/>
      <c r="G95" s="9">
        <f>IF(I95="Settled","",MAX(0,TODAY()-F95))</f>
        <v/>
      </c>
      <c r="H95" s="9">
        <f>IF(E95="","",TEXT(E95,"0.00")&amp;"|"&amp;IF(B95="Invoice","AR","AP"))</f>
        <v/>
      </c>
      <c r="I95" s="9">
        <f>IF(H95="","",IF(COUNTIF(Bank!$F:$F,H95)&gt;0,"Settled","Open"))</f>
        <v/>
      </c>
      <c r="J95" s="9">
        <f>IF(I95&lt;&gt;"Open","",IF(G95&lt;=0,"Current",IF(G95&lt;=30,"1-30",IF(G95&lt;=60,"31-60",IF(G95&lt;=90,"61-90","90+")))))</f>
        <v/>
      </c>
    </row>
    <row r="96">
      <c r="A96" s="8" t="n"/>
      <c r="B96" s="9" t="n"/>
      <c r="C96" s="9" t="n"/>
      <c r="D96" s="9" t="n"/>
      <c r="E96" s="10" t="n"/>
      <c r="F96" s="8" t="n"/>
      <c r="G96" s="9">
        <f>IF(I96="Settled","",MAX(0,TODAY()-F96))</f>
        <v/>
      </c>
      <c r="H96" s="9">
        <f>IF(E96="","",TEXT(E96,"0.00")&amp;"|"&amp;IF(B96="Invoice","AR","AP"))</f>
        <v/>
      </c>
      <c r="I96" s="9">
        <f>IF(H96="","",IF(COUNTIF(Bank!$F:$F,H96)&gt;0,"Settled","Open"))</f>
        <v/>
      </c>
      <c r="J96" s="9">
        <f>IF(I96&lt;&gt;"Open","",IF(G96&lt;=0,"Current",IF(G96&lt;=30,"1-30",IF(G96&lt;=60,"31-60",IF(G96&lt;=90,"61-90","90+")))))</f>
        <v/>
      </c>
    </row>
    <row r="97">
      <c r="A97" s="8" t="n"/>
      <c r="B97" s="9" t="n"/>
      <c r="C97" s="9" t="n"/>
      <c r="D97" s="9" t="n"/>
      <c r="E97" s="10" t="n"/>
      <c r="F97" s="8" t="n"/>
      <c r="G97" s="9">
        <f>IF(I97="Settled","",MAX(0,TODAY()-F97))</f>
        <v/>
      </c>
      <c r="H97" s="9">
        <f>IF(E97="","",TEXT(E97,"0.00")&amp;"|"&amp;IF(B97="Invoice","AR","AP"))</f>
        <v/>
      </c>
      <c r="I97" s="9">
        <f>IF(H97="","",IF(COUNTIF(Bank!$F:$F,H97)&gt;0,"Settled","Open"))</f>
        <v/>
      </c>
      <c r="J97" s="9">
        <f>IF(I97&lt;&gt;"Open","",IF(G97&lt;=0,"Current",IF(G97&lt;=30,"1-30",IF(G97&lt;=60,"31-60",IF(G97&lt;=90,"61-90","90+")))))</f>
        <v/>
      </c>
    </row>
    <row r="98">
      <c r="A98" s="8" t="n"/>
      <c r="B98" s="9" t="n"/>
      <c r="C98" s="9" t="n"/>
      <c r="D98" s="9" t="n"/>
      <c r="E98" s="10" t="n"/>
      <c r="F98" s="8" t="n"/>
      <c r="G98" s="9">
        <f>IF(I98="Settled","",MAX(0,TODAY()-F98))</f>
        <v/>
      </c>
      <c r="H98" s="9">
        <f>IF(E98="","",TEXT(E98,"0.00")&amp;"|"&amp;IF(B98="Invoice","AR","AP"))</f>
        <v/>
      </c>
      <c r="I98" s="9">
        <f>IF(H98="","",IF(COUNTIF(Bank!$F:$F,H98)&gt;0,"Settled","Open"))</f>
        <v/>
      </c>
      <c r="J98" s="9">
        <f>IF(I98&lt;&gt;"Open","",IF(G98&lt;=0,"Current",IF(G98&lt;=30,"1-30",IF(G98&lt;=60,"31-60",IF(G98&lt;=90,"61-90","90+")))))</f>
        <v/>
      </c>
    </row>
    <row r="99">
      <c r="A99" s="8" t="n"/>
      <c r="B99" s="9" t="n"/>
      <c r="C99" s="9" t="n"/>
      <c r="D99" s="9" t="n"/>
      <c r="E99" s="10" t="n"/>
      <c r="F99" s="8" t="n"/>
      <c r="G99" s="9">
        <f>IF(I99="Settled","",MAX(0,TODAY()-F99))</f>
        <v/>
      </c>
      <c r="H99" s="9">
        <f>IF(E99="","",TEXT(E99,"0.00")&amp;"|"&amp;IF(B99="Invoice","AR","AP"))</f>
        <v/>
      </c>
      <c r="I99" s="9">
        <f>IF(H99="","",IF(COUNTIF(Bank!$F:$F,H99)&gt;0,"Settled","Open"))</f>
        <v/>
      </c>
      <c r="J99" s="9">
        <f>IF(I99&lt;&gt;"Open","",IF(G99&lt;=0,"Current",IF(G99&lt;=30,"1-30",IF(G99&lt;=60,"31-60",IF(G99&lt;=90,"61-90","90+")))))</f>
        <v/>
      </c>
    </row>
    <row r="100">
      <c r="A100" s="8" t="n"/>
      <c r="B100" s="9" t="n"/>
      <c r="C100" s="9" t="n"/>
      <c r="D100" s="9" t="n"/>
      <c r="E100" s="10" t="n"/>
      <c r="F100" s="8" t="n"/>
      <c r="G100" s="9">
        <f>IF(I100="Settled","",MAX(0,TODAY()-F100))</f>
        <v/>
      </c>
      <c r="H100" s="9">
        <f>IF(E100="","",TEXT(E100,"0.00")&amp;"|"&amp;IF(B100="Invoice","AR","AP"))</f>
        <v/>
      </c>
      <c r="I100" s="9">
        <f>IF(H100="","",IF(COUNTIF(Bank!$F:$F,H100)&gt;0,"Settled","Open"))</f>
        <v/>
      </c>
      <c r="J100" s="9">
        <f>IF(I100&lt;&gt;"Open","",IF(G100&lt;=0,"Current",IF(G100&lt;=30,"1-30",IF(G100&lt;=60,"31-60",IF(G100&lt;=90,"61-90","90+")))))</f>
        <v/>
      </c>
    </row>
    <row r="101">
      <c r="A101" s="8" t="n"/>
      <c r="B101" s="9" t="n"/>
      <c r="C101" s="9" t="n"/>
      <c r="D101" s="9" t="n"/>
      <c r="E101" s="10" t="n"/>
      <c r="F101" s="8" t="n"/>
      <c r="G101" s="9">
        <f>IF(I101="Settled","",MAX(0,TODAY()-F101))</f>
        <v/>
      </c>
      <c r="H101" s="9">
        <f>IF(E101="","",TEXT(E101,"0.00")&amp;"|"&amp;IF(B101="Invoice","AR","AP"))</f>
        <v/>
      </c>
      <c r="I101" s="9">
        <f>IF(H101="","",IF(COUNTIF(Bank!$F:$F,H101)&gt;0,"Settled","Open"))</f>
        <v/>
      </c>
      <c r="J101" s="9">
        <f>IF(I101&lt;&gt;"Open","",IF(G101&lt;=0,"Current",IF(G101&lt;=30,"1-30",IF(G101&lt;=60,"31-60",IF(G101&lt;=90,"61-90","90+")))))</f>
        <v/>
      </c>
    </row>
    <row r="102">
      <c r="A102" s="8" t="n"/>
      <c r="B102" s="9" t="n"/>
      <c r="C102" s="9" t="n"/>
      <c r="D102" s="9" t="n"/>
      <c r="E102" s="10" t="n"/>
      <c r="F102" s="8" t="n"/>
      <c r="G102" s="9">
        <f>IF(I102="Settled","",MAX(0,TODAY()-F102))</f>
        <v/>
      </c>
      <c r="H102" s="9">
        <f>IF(E102="","",TEXT(E102,"0.00")&amp;"|"&amp;IF(B102="Invoice","AR","AP"))</f>
        <v/>
      </c>
      <c r="I102" s="9">
        <f>IF(H102="","",IF(COUNTIF(Bank!$F:$F,H102)&gt;0,"Settled","Open"))</f>
        <v/>
      </c>
      <c r="J102" s="9">
        <f>IF(I102&lt;&gt;"Open","",IF(G102&lt;=0,"Current",IF(G102&lt;=30,"1-30",IF(G102&lt;=60,"31-60",IF(G102&lt;=90,"61-90","90+")))))</f>
        <v/>
      </c>
    </row>
    <row r="103">
      <c r="A103" s="8" t="n"/>
      <c r="B103" s="9" t="n"/>
      <c r="C103" s="9" t="n"/>
      <c r="D103" s="9" t="n"/>
      <c r="E103" s="10" t="n"/>
      <c r="F103" s="8" t="n"/>
      <c r="G103" s="9">
        <f>IF(I103="Settled","",MAX(0,TODAY()-F103))</f>
        <v/>
      </c>
      <c r="H103" s="9">
        <f>IF(E103="","",TEXT(E103,"0.00")&amp;"|"&amp;IF(B103="Invoice","AR","AP"))</f>
        <v/>
      </c>
      <c r="I103" s="9">
        <f>IF(H103="","",IF(COUNTIF(Bank!$F:$F,H103)&gt;0,"Settled","Open"))</f>
        <v/>
      </c>
      <c r="J103" s="9">
        <f>IF(I103&lt;&gt;"Open","",IF(G103&lt;=0,"Current",IF(G103&lt;=30,"1-30",IF(G103&lt;=60,"31-60",IF(G103&lt;=90,"61-90","90+")))))</f>
        <v/>
      </c>
    </row>
    <row r="104">
      <c r="A104" s="8" t="n"/>
      <c r="B104" s="9" t="n"/>
      <c r="C104" s="9" t="n"/>
      <c r="D104" s="9" t="n"/>
      <c r="E104" s="10" t="n"/>
      <c r="F104" s="8" t="n"/>
      <c r="G104" s="9">
        <f>IF(I104="Settled","",MAX(0,TODAY()-F104))</f>
        <v/>
      </c>
      <c r="H104" s="9">
        <f>IF(E104="","",TEXT(E104,"0.00")&amp;"|"&amp;IF(B104="Invoice","AR","AP"))</f>
        <v/>
      </c>
      <c r="I104" s="9">
        <f>IF(H104="","",IF(COUNTIF(Bank!$F:$F,H104)&gt;0,"Settled","Open"))</f>
        <v/>
      </c>
      <c r="J104" s="9">
        <f>IF(I104&lt;&gt;"Open","",IF(G104&lt;=0,"Current",IF(G104&lt;=30,"1-30",IF(G104&lt;=60,"31-60",IF(G104&lt;=90,"61-90","90+")))))</f>
        <v/>
      </c>
    </row>
    <row r="105">
      <c r="A105" s="8" t="n"/>
      <c r="B105" s="9" t="n"/>
      <c r="C105" s="9" t="n"/>
      <c r="D105" s="9" t="n"/>
      <c r="E105" s="10" t="n"/>
      <c r="F105" s="8" t="n"/>
      <c r="G105" s="9">
        <f>IF(I105="Settled","",MAX(0,TODAY()-F105))</f>
        <v/>
      </c>
      <c r="H105" s="9">
        <f>IF(E105="","",TEXT(E105,"0.00")&amp;"|"&amp;IF(B105="Invoice","AR","AP"))</f>
        <v/>
      </c>
      <c r="I105" s="9">
        <f>IF(H105="","",IF(COUNTIF(Bank!$F:$F,H105)&gt;0,"Settled","Open"))</f>
        <v/>
      </c>
      <c r="J105" s="9">
        <f>IF(I105&lt;&gt;"Open","",IF(G105&lt;=0,"Current",IF(G105&lt;=30,"1-30",IF(G105&lt;=60,"31-60",IF(G105&lt;=90,"61-90","90+")))))</f>
        <v/>
      </c>
    </row>
    <row r="106">
      <c r="A106" s="8" t="n"/>
      <c r="B106" s="9" t="n"/>
      <c r="C106" s="9" t="n"/>
      <c r="D106" s="9" t="n"/>
      <c r="E106" s="10" t="n"/>
      <c r="F106" s="8" t="n"/>
      <c r="G106" s="9">
        <f>IF(I106="Settled","",MAX(0,TODAY()-F106))</f>
        <v/>
      </c>
      <c r="H106" s="9">
        <f>IF(E106="","",TEXT(E106,"0.00")&amp;"|"&amp;IF(B106="Invoice","AR","AP"))</f>
        <v/>
      </c>
      <c r="I106" s="9">
        <f>IF(H106="","",IF(COUNTIF(Bank!$F:$F,H106)&gt;0,"Settled","Open"))</f>
        <v/>
      </c>
      <c r="J106" s="9">
        <f>IF(I106&lt;&gt;"Open","",IF(G106&lt;=0,"Current",IF(G106&lt;=30,"1-30",IF(G106&lt;=60,"31-60",IF(G106&lt;=90,"61-90","90+")))))</f>
        <v/>
      </c>
    </row>
    <row r="107">
      <c r="A107" s="8" t="n"/>
      <c r="B107" s="9" t="n"/>
      <c r="C107" s="9" t="n"/>
      <c r="D107" s="9" t="n"/>
      <c r="E107" s="10" t="n"/>
      <c r="F107" s="8" t="n"/>
      <c r="G107" s="9">
        <f>IF(I107="Settled","",MAX(0,TODAY()-F107))</f>
        <v/>
      </c>
      <c r="H107" s="9">
        <f>IF(E107="","",TEXT(E107,"0.00")&amp;"|"&amp;IF(B107="Invoice","AR","AP"))</f>
        <v/>
      </c>
      <c r="I107" s="9">
        <f>IF(H107="","",IF(COUNTIF(Bank!$F:$F,H107)&gt;0,"Settled","Open"))</f>
        <v/>
      </c>
      <c r="J107" s="9">
        <f>IF(I107&lt;&gt;"Open","",IF(G107&lt;=0,"Current",IF(G107&lt;=30,"1-30",IF(G107&lt;=60,"31-60",IF(G107&lt;=90,"61-90","90+")))))</f>
        <v/>
      </c>
    </row>
    <row r="108">
      <c r="A108" s="8" t="n"/>
      <c r="B108" s="9" t="n"/>
      <c r="C108" s="9" t="n"/>
      <c r="D108" s="9" t="n"/>
      <c r="E108" s="10" t="n"/>
      <c r="F108" s="8" t="n"/>
      <c r="G108" s="9">
        <f>IF(I108="Settled","",MAX(0,TODAY()-F108))</f>
        <v/>
      </c>
      <c r="H108" s="9">
        <f>IF(E108="","",TEXT(E108,"0.00")&amp;"|"&amp;IF(B108="Invoice","AR","AP"))</f>
        <v/>
      </c>
      <c r="I108" s="9">
        <f>IF(H108="","",IF(COUNTIF(Bank!$F:$F,H108)&gt;0,"Settled","Open"))</f>
        <v/>
      </c>
      <c r="J108" s="9">
        <f>IF(I108&lt;&gt;"Open","",IF(G108&lt;=0,"Current",IF(G108&lt;=30,"1-30",IF(G108&lt;=60,"31-60",IF(G108&lt;=90,"61-90","90+")))))</f>
        <v/>
      </c>
    </row>
    <row r="109">
      <c r="A109" s="8" t="n"/>
      <c r="B109" s="9" t="n"/>
      <c r="C109" s="9" t="n"/>
      <c r="D109" s="9" t="n"/>
      <c r="E109" s="10" t="n"/>
      <c r="F109" s="8" t="n"/>
      <c r="G109" s="9">
        <f>IF(I109="Settled","",MAX(0,TODAY()-F109))</f>
        <v/>
      </c>
      <c r="H109" s="9">
        <f>IF(E109="","",TEXT(E109,"0.00")&amp;"|"&amp;IF(B109="Invoice","AR","AP"))</f>
        <v/>
      </c>
      <c r="I109" s="9">
        <f>IF(H109="","",IF(COUNTIF(Bank!$F:$F,H109)&gt;0,"Settled","Open"))</f>
        <v/>
      </c>
      <c r="J109" s="9">
        <f>IF(I109&lt;&gt;"Open","",IF(G109&lt;=0,"Current",IF(G109&lt;=30,"1-30",IF(G109&lt;=60,"31-60",IF(G109&lt;=90,"61-90","90+")))))</f>
        <v/>
      </c>
    </row>
    <row r="110">
      <c r="A110" s="8" t="n"/>
      <c r="B110" s="9" t="n"/>
      <c r="C110" s="9" t="n"/>
      <c r="D110" s="9" t="n"/>
      <c r="E110" s="10" t="n"/>
      <c r="F110" s="8" t="n"/>
      <c r="G110" s="9">
        <f>IF(I110="Settled","",MAX(0,TODAY()-F110))</f>
        <v/>
      </c>
      <c r="H110" s="9">
        <f>IF(E110="","",TEXT(E110,"0.00")&amp;"|"&amp;IF(B110="Invoice","AR","AP"))</f>
        <v/>
      </c>
      <c r="I110" s="9">
        <f>IF(H110="","",IF(COUNTIF(Bank!$F:$F,H110)&gt;0,"Settled","Open"))</f>
        <v/>
      </c>
      <c r="J110" s="9">
        <f>IF(I110&lt;&gt;"Open","",IF(G110&lt;=0,"Current",IF(G110&lt;=30,"1-30",IF(G110&lt;=60,"31-60",IF(G110&lt;=90,"61-90","90+")))))</f>
        <v/>
      </c>
    </row>
    <row r="111">
      <c r="A111" s="8" t="n"/>
      <c r="B111" s="9" t="n"/>
      <c r="C111" s="9" t="n"/>
      <c r="D111" s="9" t="n"/>
      <c r="E111" s="10" t="n"/>
      <c r="F111" s="8" t="n"/>
      <c r="G111" s="9">
        <f>IF(I111="Settled","",MAX(0,TODAY()-F111))</f>
        <v/>
      </c>
      <c r="H111" s="9">
        <f>IF(E111="","",TEXT(E111,"0.00")&amp;"|"&amp;IF(B111="Invoice","AR","AP"))</f>
        <v/>
      </c>
      <c r="I111" s="9">
        <f>IF(H111="","",IF(COUNTIF(Bank!$F:$F,H111)&gt;0,"Settled","Open"))</f>
        <v/>
      </c>
      <c r="J111" s="9">
        <f>IF(I111&lt;&gt;"Open","",IF(G111&lt;=0,"Current",IF(G111&lt;=30,"1-30",IF(G111&lt;=60,"31-60",IF(G111&lt;=90,"61-90","90+")))))</f>
        <v/>
      </c>
    </row>
    <row r="112">
      <c r="A112" s="8" t="n"/>
      <c r="B112" s="9" t="n"/>
      <c r="C112" s="9" t="n"/>
      <c r="D112" s="9" t="n"/>
      <c r="E112" s="10" t="n"/>
      <c r="F112" s="8" t="n"/>
      <c r="G112" s="9">
        <f>IF(I112="Settled","",MAX(0,TODAY()-F112))</f>
        <v/>
      </c>
      <c r="H112" s="9">
        <f>IF(E112="","",TEXT(E112,"0.00")&amp;"|"&amp;IF(B112="Invoice","AR","AP"))</f>
        <v/>
      </c>
      <c r="I112" s="9">
        <f>IF(H112="","",IF(COUNTIF(Bank!$F:$F,H112)&gt;0,"Settled","Open"))</f>
        <v/>
      </c>
      <c r="J112" s="9">
        <f>IF(I112&lt;&gt;"Open","",IF(G112&lt;=0,"Current",IF(G112&lt;=30,"1-30",IF(G112&lt;=60,"31-60",IF(G112&lt;=90,"61-90","90+")))))</f>
        <v/>
      </c>
    </row>
    <row r="113">
      <c r="A113" s="8" t="n"/>
      <c r="B113" s="9" t="n"/>
      <c r="C113" s="9" t="n"/>
      <c r="D113" s="9" t="n"/>
      <c r="E113" s="10" t="n"/>
      <c r="F113" s="8" t="n"/>
      <c r="G113" s="9">
        <f>IF(I113="Settled","",MAX(0,TODAY()-F113))</f>
        <v/>
      </c>
      <c r="H113" s="9">
        <f>IF(E113="","",TEXT(E113,"0.00")&amp;"|"&amp;IF(B113="Invoice","AR","AP"))</f>
        <v/>
      </c>
      <c r="I113" s="9">
        <f>IF(H113="","",IF(COUNTIF(Bank!$F:$F,H113)&gt;0,"Settled","Open"))</f>
        <v/>
      </c>
      <c r="J113" s="9">
        <f>IF(I113&lt;&gt;"Open","",IF(G113&lt;=0,"Current",IF(G113&lt;=30,"1-30",IF(G113&lt;=60,"31-60",IF(G113&lt;=90,"61-90","90+")))))</f>
        <v/>
      </c>
    </row>
    <row r="114">
      <c r="A114" s="8" t="n"/>
      <c r="B114" s="9" t="n"/>
      <c r="C114" s="9" t="n"/>
      <c r="D114" s="9" t="n"/>
      <c r="E114" s="10" t="n"/>
      <c r="F114" s="8" t="n"/>
      <c r="G114" s="9">
        <f>IF(I114="Settled","",MAX(0,TODAY()-F114))</f>
        <v/>
      </c>
      <c r="H114" s="9">
        <f>IF(E114="","",TEXT(E114,"0.00")&amp;"|"&amp;IF(B114="Invoice","AR","AP"))</f>
        <v/>
      </c>
      <c r="I114" s="9">
        <f>IF(H114="","",IF(COUNTIF(Bank!$F:$F,H114)&gt;0,"Settled","Open"))</f>
        <v/>
      </c>
      <c r="J114" s="9">
        <f>IF(I114&lt;&gt;"Open","",IF(G114&lt;=0,"Current",IF(G114&lt;=30,"1-30",IF(G114&lt;=60,"31-60",IF(G114&lt;=90,"61-90","90+")))))</f>
        <v/>
      </c>
    </row>
    <row r="115">
      <c r="A115" s="8" t="n"/>
      <c r="B115" s="9" t="n"/>
      <c r="C115" s="9" t="n"/>
      <c r="D115" s="9" t="n"/>
      <c r="E115" s="10" t="n"/>
      <c r="F115" s="8" t="n"/>
      <c r="G115" s="9">
        <f>IF(I115="Settled","",MAX(0,TODAY()-F115))</f>
        <v/>
      </c>
      <c r="H115" s="9">
        <f>IF(E115="","",TEXT(E115,"0.00")&amp;"|"&amp;IF(B115="Invoice","AR","AP"))</f>
        <v/>
      </c>
      <c r="I115" s="9">
        <f>IF(H115="","",IF(COUNTIF(Bank!$F:$F,H115)&gt;0,"Settled","Open"))</f>
        <v/>
      </c>
      <c r="J115" s="9">
        <f>IF(I115&lt;&gt;"Open","",IF(G115&lt;=0,"Current",IF(G115&lt;=30,"1-30",IF(G115&lt;=60,"31-60",IF(G115&lt;=90,"61-90","90+")))))</f>
        <v/>
      </c>
    </row>
    <row r="116">
      <c r="A116" s="8" t="n"/>
      <c r="B116" s="9" t="n"/>
      <c r="C116" s="9" t="n"/>
      <c r="D116" s="9" t="n"/>
      <c r="E116" s="10" t="n"/>
      <c r="F116" s="8" t="n"/>
      <c r="G116" s="9">
        <f>IF(I116="Settled","",MAX(0,TODAY()-F116))</f>
        <v/>
      </c>
      <c r="H116" s="9">
        <f>IF(E116="","",TEXT(E116,"0.00")&amp;"|"&amp;IF(B116="Invoice","AR","AP"))</f>
        <v/>
      </c>
      <c r="I116" s="9">
        <f>IF(H116="","",IF(COUNTIF(Bank!$F:$F,H116)&gt;0,"Settled","Open"))</f>
        <v/>
      </c>
      <c r="J116" s="9">
        <f>IF(I116&lt;&gt;"Open","",IF(G116&lt;=0,"Current",IF(G116&lt;=30,"1-30",IF(G116&lt;=60,"31-60",IF(G116&lt;=90,"61-90","90+")))))</f>
        <v/>
      </c>
    </row>
    <row r="117">
      <c r="A117" s="8" t="n"/>
      <c r="B117" s="9" t="n"/>
      <c r="C117" s="9" t="n"/>
      <c r="D117" s="9" t="n"/>
      <c r="E117" s="10" t="n"/>
      <c r="F117" s="8" t="n"/>
      <c r="G117" s="9">
        <f>IF(I117="Settled","",MAX(0,TODAY()-F117))</f>
        <v/>
      </c>
      <c r="H117" s="9">
        <f>IF(E117="","",TEXT(E117,"0.00")&amp;"|"&amp;IF(B117="Invoice","AR","AP"))</f>
        <v/>
      </c>
      <c r="I117" s="9">
        <f>IF(H117="","",IF(COUNTIF(Bank!$F:$F,H117)&gt;0,"Settled","Open"))</f>
        <v/>
      </c>
      <c r="J117" s="9">
        <f>IF(I117&lt;&gt;"Open","",IF(G117&lt;=0,"Current",IF(G117&lt;=30,"1-30",IF(G117&lt;=60,"31-60",IF(G117&lt;=90,"61-90","90+")))))</f>
        <v/>
      </c>
    </row>
    <row r="118">
      <c r="A118" s="8" t="n"/>
      <c r="B118" s="9" t="n"/>
      <c r="C118" s="9" t="n"/>
      <c r="D118" s="9" t="n"/>
      <c r="E118" s="10" t="n"/>
      <c r="F118" s="8" t="n"/>
      <c r="G118" s="9">
        <f>IF(I118="Settled","",MAX(0,TODAY()-F118))</f>
        <v/>
      </c>
      <c r="H118" s="9">
        <f>IF(E118="","",TEXT(E118,"0.00")&amp;"|"&amp;IF(B118="Invoice","AR","AP"))</f>
        <v/>
      </c>
      <c r="I118" s="9">
        <f>IF(H118="","",IF(COUNTIF(Bank!$F:$F,H118)&gt;0,"Settled","Open"))</f>
        <v/>
      </c>
      <c r="J118" s="9">
        <f>IF(I118&lt;&gt;"Open","",IF(G118&lt;=0,"Current",IF(G118&lt;=30,"1-30",IF(G118&lt;=60,"31-60",IF(G118&lt;=90,"61-90","90+")))))</f>
        <v/>
      </c>
    </row>
    <row r="119">
      <c r="A119" s="8" t="n"/>
      <c r="B119" s="9" t="n"/>
      <c r="C119" s="9" t="n"/>
      <c r="D119" s="9" t="n"/>
      <c r="E119" s="10" t="n"/>
      <c r="F119" s="8" t="n"/>
      <c r="G119" s="9">
        <f>IF(I119="Settled","",MAX(0,TODAY()-F119))</f>
        <v/>
      </c>
      <c r="H119" s="9">
        <f>IF(E119="","",TEXT(E119,"0.00")&amp;"|"&amp;IF(B119="Invoice","AR","AP"))</f>
        <v/>
      </c>
      <c r="I119" s="9">
        <f>IF(H119="","",IF(COUNTIF(Bank!$F:$F,H119)&gt;0,"Settled","Open"))</f>
        <v/>
      </c>
      <c r="J119" s="9">
        <f>IF(I119&lt;&gt;"Open","",IF(G119&lt;=0,"Current",IF(G119&lt;=30,"1-30",IF(G119&lt;=60,"31-60",IF(G119&lt;=90,"61-90","90+")))))</f>
        <v/>
      </c>
    </row>
    <row r="120">
      <c r="A120" s="8" t="n"/>
      <c r="B120" s="9" t="n"/>
      <c r="C120" s="9" t="n"/>
      <c r="D120" s="9" t="n"/>
      <c r="E120" s="10" t="n"/>
      <c r="F120" s="8" t="n"/>
      <c r="G120" s="9">
        <f>IF(I120="Settled","",MAX(0,TODAY()-F120))</f>
        <v/>
      </c>
      <c r="H120" s="9">
        <f>IF(E120="","",TEXT(E120,"0.00")&amp;"|"&amp;IF(B120="Invoice","AR","AP"))</f>
        <v/>
      </c>
      <c r="I120" s="9">
        <f>IF(H120="","",IF(COUNTIF(Bank!$F:$F,H120)&gt;0,"Settled","Open"))</f>
        <v/>
      </c>
      <c r="J120" s="9">
        <f>IF(I120&lt;&gt;"Open","",IF(G120&lt;=0,"Current",IF(G120&lt;=30,"1-30",IF(G120&lt;=60,"31-60",IF(G120&lt;=90,"61-90","90+")))))</f>
        <v/>
      </c>
    </row>
    <row r="121">
      <c r="A121" s="8" t="n"/>
      <c r="B121" s="9" t="n"/>
      <c r="C121" s="9" t="n"/>
      <c r="D121" s="9" t="n"/>
      <c r="E121" s="10" t="n"/>
      <c r="F121" s="8" t="n"/>
      <c r="G121" s="9">
        <f>IF(I121="Settled","",MAX(0,TODAY()-F121))</f>
        <v/>
      </c>
      <c r="H121" s="9">
        <f>IF(E121="","",TEXT(E121,"0.00")&amp;"|"&amp;IF(B121="Invoice","AR","AP"))</f>
        <v/>
      </c>
      <c r="I121" s="9">
        <f>IF(H121="","",IF(COUNTIF(Bank!$F:$F,H121)&gt;0,"Settled","Open"))</f>
        <v/>
      </c>
      <c r="J121" s="9">
        <f>IF(I121&lt;&gt;"Open","",IF(G121&lt;=0,"Current",IF(G121&lt;=30,"1-30",IF(G121&lt;=60,"31-60",IF(G121&lt;=90,"61-90","90+")))))</f>
        <v/>
      </c>
    </row>
    <row r="122">
      <c r="A122" s="8" t="n"/>
      <c r="B122" s="9" t="n"/>
      <c r="C122" s="9" t="n"/>
      <c r="D122" s="9" t="n"/>
      <c r="E122" s="10" t="n"/>
      <c r="F122" s="8" t="n"/>
      <c r="G122" s="9">
        <f>IF(I122="Settled","",MAX(0,TODAY()-F122))</f>
        <v/>
      </c>
      <c r="H122" s="9">
        <f>IF(E122="","",TEXT(E122,"0.00")&amp;"|"&amp;IF(B122="Invoice","AR","AP"))</f>
        <v/>
      </c>
      <c r="I122" s="9">
        <f>IF(H122="","",IF(COUNTIF(Bank!$F:$F,H122)&gt;0,"Settled","Open"))</f>
        <v/>
      </c>
      <c r="J122" s="9">
        <f>IF(I122&lt;&gt;"Open","",IF(G122&lt;=0,"Current",IF(G122&lt;=30,"1-30",IF(G122&lt;=60,"31-60",IF(G122&lt;=90,"61-90","90+")))))</f>
        <v/>
      </c>
    </row>
    <row r="123">
      <c r="A123" s="8" t="n"/>
      <c r="B123" s="9" t="n"/>
      <c r="C123" s="9" t="n"/>
      <c r="D123" s="9" t="n"/>
      <c r="E123" s="10" t="n"/>
      <c r="F123" s="8" t="n"/>
      <c r="G123" s="9">
        <f>IF(I123="Settled","",MAX(0,TODAY()-F123))</f>
        <v/>
      </c>
      <c r="H123" s="9">
        <f>IF(E123="","",TEXT(E123,"0.00")&amp;"|"&amp;IF(B123="Invoice","AR","AP"))</f>
        <v/>
      </c>
      <c r="I123" s="9">
        <f>IF(H123="","",IF(COUNTIF(Bank!$F:$F,H123)&gt;0,"Settled","Open"))</f>
        <v/>
      </c>
      <c r="J123" s="9">
        <f>IF(I123&lt;&gt;"Open","",IF(G123&lt;=0,"Current",IF(G123&lt;=30,"1-30",IF(G123&lt;=60,"31-60",IF(G123&lt;=90,"61-90","90+")))))</f>
        <v/>
      </c>
    </row>
    <row r="124">
      <c r="A124" s="8" t="n"/>
      <c r="B124" s="9" t="n"/>
      <c r="C124" s="9" t="n"/>
      <c r="D124" s="9" t="n"/>
      <c r="E124" s="10" t="n"/>
      <c r="F124" s="8" t="n"/>
      <c r="G124" s="9">
        <f>IF(I124="Settled","",MAX(0,TODAY()-F124))</f>
        <v/>
      </c>
      <c r="H124" s="9">
        <f>IF(E124="","",TEXT(E124,"0.00")&amp;"|"&amp;IF(B124="Invoice","AR","AP"))</f>
        <v/>
      </c>
      <c r="I124" s="9">
        <f>IF(H124="","",IF(COUNTIF(Bank!$F:$F,H124)&gt;0,"Settled","Open"))</f>
        <v/>
      </c>
      <c r="J124" s="9">
        <f>IF(I124&lt;&gt;"Open","",IF(G124&lt;=0,"Current",IF(G124&lt;=30,"1-30",IF(G124&lt;=60,"31-60",IF(G124&lt;=90,"61-90","90+")))))</f>
        <v/>
      </c>
    </row>
    <row r="125">
      <c r="A125" s="8" t="n"/>
      <c r="B125" s="9" t="n"/>
      <c r="C125" s="9" t="n"/>
      <c r="D125" s="9" t="n"/>
      <c r="E125" s="10" t="n"/>
      <c r="F125" s="8" t="n"/>
      <c r="G125" s="9">
        <f>IF(I125="Settled","",MAX(0,TODAY()-F125))</f>
        <v/>
      </c>
      <c r="H125" s="9">
        <f>IF(E125="","",TEXT(E125,"0.00")&amp;"|"&amp;IF(B125="Invoice","AR","AP"))</f>
        <v/>
      </c>
      <c r="I125" s="9">
        <f>IF(H125="","",IF(COUNTIF(Bank!$F:$F,H125)&gt;0,"Settled","Open"))</f>
        <v/>
      </c>
      <c r="J125" s="9">
        <f>IF(I125&lt;&gt;"Open","",IF(G125&lt;=0,"Current",IF(G125&lt;=30,"1-30",IF(G125&lt;=60,"31-60",IF(G125&lt;=90,"61-90","90+")))))</f>
        <v/>
      </c>
    </row>
    <row r="126">
      <c r="A126" s="8" t="n"/>
      <c r="B126" s="9" t="n"/>
      <c r="C126" s="9" t="n"/>
      <c r="D126" s="9" t="n"/>
      <c r="E126" s="10" t="n"/>
      <c r="F126" s="8" t="n"/>
      <c r="G126" s="9">
        <f>IF(I126="Settled","",MAX(0,TODAY()-F126))</f>
        <v/>
      </c>
      <c r="H126" s="9">
        <f>IF(E126="","",TEXT(E126,"0.00")&amp;"|"&amp;IF(B126="Invoice","AR","AP"))</f>
        <v/>
      </c>
      <c r="I126" s="9">
        <f>IF(H126="","",IF(COUNTIF(Bank!$F:$F,H126)&gt;0,"Settled","Open"))</f>
        <v/>
      </c>
      <c r="J126" s="9">
        <f>IF(I126&lt;&gt;"Open","",IF(G126&lt;=0,"Current",IF(G126&lt;=30,"1-30",IF(G126&lt;=60,"31-60",IF(G126&lt;=90,"61-90","90+")))))</f>
        <v/>
      </c>
    </row>
    <row r="127">
      <c r="A127" s="8" t="n"/>
      <c r="B127" s="9" t="n"/>
      <c r="C127" s="9" t="n"/>
      <c r="D127" s="9" t="n"/>
      <c r="E127" s="10" t="n"/>
      <c r="F127" s="8" t="n"/>
      <c r="G127" s="9">
        <f>IF(I127="Settled","",MAX(0,TODAY()-F127))</f>
        <v/>
      </c>
      <c r="H127" s="9">
        <f>IF(E127="","",TEXT(E127,"0.00")&amp;"|"&amp;IF(B127="Invoice","AR","AP"))</f>
        <v/>
      </c>
      <c r="I127" s="9">
        <f>IF(H127="","",IF(COUNTIF(Bank!$F:$F,H127)&gt;0,"Settled","Open"))</f>
        <v/>
      </c>
      <c r="J127" s="9">
        <f>IF(I127&lt;&gt;"Open","",IF(G127&lt;=0,"Current",IF(G127&lt;=30,"1-30",IF(G127&lt;=60,"31-60",IF(G127&lt;=90,"61-90","90+")))))</f>
        <v/>
      </c>
    </row>
    <row r="128">
      <c r="A128" s="8" t="n"/>
      <c r="B128" s="9" t="n"/>
      <c r="C128" s="9" t="n"/>
      <c r="D128" s="9" t="n"/>
      <c r="E128" s="10" t="n"/>
      <c r="F128" s="8" t="n"/>
      <c r="G128" s="9">
        <f>IF(I128="Settled","",MAX(0,TODAY()-F128))</f>
        <v/>
      </c>
      <c r="H128" s="9">
        <f>IF(E128="","",TEXT(E128,"0.00")&amp;"|"&amp;IF(B128="Invoice","AR","AP"))</f>
        <v/>
      </c>
      <c r="I128" s="9">
        <f>IF(H128="","",IF(COUNTIF(Bank!$F:$F,H128)&gt;0,"Settled","Open"))</f>
        <v/>
      </c>
      <c r="J128" s="9">
        <f>IF(I128&lt;&gt;"Open","",IF(G128&lt;=0,"Current",IF(G128&lt;=30,"1-30",IF(G128&lt;=60,"31-60",IF(G128&lt;=90,"61-90","90+")))))</f>
        <v/>
      </c>
    </row>
    <row r="129">
      <c r="A129" s="8" t="n"/>
      <c r="B129" s="9" t="n"/>
      <c r="C129" s="9" t="n"/>
      <c r="D129" s="9" t="n"/>
      <c r="E129" s="10" t="n"/>
      <c r="F129" s="8" t="n"/>
      <c r="G129" s="9">
        <f>IF(I129="Settled","",MAX(0,TODAY()-F129))</f>
        <v/>
      </c>
      <c r="H129" s="9">
        <f>IF(E129="","",TEXT(E129,"0.00")&amp;"|"&amp;IF(B129="Invoice","AR","AP"))</f>
        <v/>
      </c>
      <c r="I129" s="9">
        <f>IF(H129="","",IF(COUNTIF(Bank!$F:$F,H129)&gt;0,"Settled","Open"))</f>
        <v/>
      </c>
      <c r="J129" s="9">
        <f>IF(I129&lt;&gt;"Open","",IF(G129&lt;=0,"Current",IF(G129&lt;=30,"1-30",IF(G129&lt;=60,"31-60",IF(G129&lt;=90,"61-90","90+")))))</f>
        <v/>
      </c>
    </row>
    <row r="130">
      <c r="A130" s="8" t="n"/>
      <c r="B130" s="9" t="n"/>
      <c r="C130" s="9" t="n"/>
      <c r="D130" s="9" t="n"/>
      <c r="E130" s="10" t="n"/>
      <c r="F130" s="8" t="n"/>
      <c r="G130" s="9">
        <f>IF(I130="Settled","",MAX(0,TODAY()-F130))</f>
        <v/>
      </c>
      <c r="H130" s="9">
        <f>IF(E130="","",TEXT(E130,"0.00")&amp;"|"&amp;IF(B130="Invoice","AR","AP"))</f>
        <v/>
      </c>
      <c r="I130" s="9">
        <f>IF(H130="","",IF(COUNTIF(Bank!$F:$F,H130)&gt;0,"Settled","Open"))</f>
        <v/>
      </c>
      <c r="J130" s="9">
        <f>IF(I130&lt;&gt;"Open","",IF(G130&lt;=0,"Current",IF(G130&lt;=30,"1-30",IF(G130&lt;=60,"31-60",IF(G130&lt;=90,"61-90","90+")))))</f>
        <v/>
      </c>
    </row>
    <row r="131">
      <c r="A131" s="8" t="n"/>
      <c r="B131" s="9" t="n"/>
      <c r="C131" s="9" t="n"/>
      <c r="D131" s="9" t="n"/>
      <c r="E131" s="10" t="n"/>
      <c r="F131" s="8" t="n"/>
      <c r="G131" s="9">
        <f>IF(I131="Settled","",MAX(0,TODAY()-F131))</f>
        <v/>
      </c>
      <c r="H131" s="9">
        <f>IF(E131="","",TEXT(E131,"0.00")&amp;"|"&amp;IF(B131="Invoice","AR","AP"))</f>
        <v/>
      </c>
      <c r="I131" s="9">
        <f>IF(H131="","",IF(COUNTIF(Bank!$F:$F,H131)&gt;0,"Settled","Open"))</f>
        <v/>
      </c>
      <c r="J131" s="9">
        <f>IF(I131&lt;&gt;"Open","",IF(G131&lt;=0,"Current",IF(G131&lt;=30,"1-30",IF(G131&lt;=60,"31-60",IF(G131&lt;=90,"61-90","90+")))))</f>
        <v/>
      </c>
    </row>
    <row r="132">
      <c r="A132" s="8" t="n"/>
      <c r="B132" s="9" t="n"/>
      <c r="C132" s="9" t="n"/>
      <c r="D132" s="9" t="n"/>
      <c r="E132" s="10" t="n"/>
      <c r="F132" s="8" t="n"/>
      <c r="G132" s="9">
        <f>IF(I132="Settled","",MAX(0,TODAY()-F132))</f>
        <v/>
      </c>
      <c r="H132" s="9">
        <f>IF(E132="","",TEXT(E132,"0.00")&amp;"|"&amp;IF(B132="Invoice","AR","AP"))</f>
        <v/>
      </c>
      <c r="I132" s="9">
        <f>IF(H132="","",IF(COUNTIF(Bank!$F:$F,H132)&gt;0,"Settled","Open"))</f>
        <v/>
      </c>
      <c r="J132" s="9">
        <f>IF(I132&lt;&gt;"Open","",IF(G132&lt;=0,"Current",IF(G132&lt;=30,"1-30",IF(G132&lt;=60,"31-60",IF(G132&lt;=90,"61-90","90+")))))</f>
        <v/>
      </c>
    </row>
    <row r="133">
      <c r="A133" s="8" t="n"/>
      <c r="B133" s="9" t="n"/>
      <c r="C133" s="9" t="n"/>
      <c r="D133" s="9" t="n"/>
      <c r="E133" s="10" t="n"/>
      <c r="F133" s="8" t="n"/>
      <c r="G133" s="9">
        <f>IF(I133="Settled","",MAX(0,TODAY()-F133))</f>
        <v/>
      </c>
      <c r="H133" s="9">
        <f>IF(E133="","",TEXT(E133,"0.00")&amp;"|"&amp;IF(B133="Invoice","AR","AP"))</f>
        <v/>
      </c>
      <c r="I133" s="9">
        <f>IF(H133="","",IF(COUNTIF(Bank!$F:$F,H133)&gt;0,"Settled","Open"))</f>
        <v/>
      </c>
      <c r="J133" s="9">
        <f>IF(I133&lt;&gt;"Open","",IF(G133&lt;=0,"Current",IF(G133&lt;=30,"1-30",IF(G133&lt;=60,"31-60",IF(G133&lt;=90,"61-90","90+")))))</f>
        <v/>
      </c>
    </row>
    <row r="134">
      <c r="A134" s="8" t="n"/>
      <c r="B134" s="9" t="n"/>
      <c r="C134" s="9" t="n"/>
      <c r="D134" s="9" t="n"/>
      <c r="E134" s="10" t="n"/>
      <c r="F134" s="8" t="n"/>
      <c r="G134" s="9">
        <f>IF(I134="Settled","",MAX(0,TODAY()-F134))</f>
        <v/>
      </c>
      <c r="H134" s="9">
        <f>IF(E134="","",TEXT(E134,"0.00")&amp;"|"&amp;IF(B134="Invoice","AR","AP"))</f>
        <v/>
      </c>
      <c r="I134" s="9">
        <f>IF(H134="","",IF(COUNTIF(Bank!$F:$F,H134)&gt;0,"Settled","Open"))</f>
        <v/>
      </c>
      <c r="J134" s="9">
        <f>IF(I134&lt;&gt;"Open","",IF(G134&lt;=0,"Current",IF(G134&lt;=30,"1-30",IF(G134&lt;=60,"31-60",IF(G134&lt;=90,"61-90","90+")))))</f>
        <v/>
      </c>
    </row>
    <row r="135">
      <c r="A135" s="8" t="n"/>
      <c r="B135" s="9" t="n"/>
      <c r="C135" s="9" t="n"/>
      <c r="D135" s="9" t="n"/>
      <c r="E135" s="10" t="n"/>
      <c r="F135" s="8" t="n"/>
      <c r="G135" s="9">
        <f>IF(I135="Settled","",MAX(0,TODAY()-F135))</f>
        <v/>
      </c>
      <c r="H135" s="9">
        <f>IF(E135="","",TEXT(E135,"0.00")&amp;"|"&amp;IF(B135="Invoice","AR","AP"))</f>
        <v/>
      </c>
      <c r="I135" s="9">
        <f>IF(H135="","",IF(COUNTIF(Bank!$F:$F,H135)&gt;0,"Settled","Open"))</f>
        <v/>
      </c>
      <c r="J135" s="9">
        <f>IF(I135&lt;&gt;"Open","",IF(G135&lt;=0,"Current",IF(G135&lt;=30,"1-30",IF(G135&lt;=60,"31-60",IF(G135&lt;=90,"61-90","90+")))))</f>
        <v/>
      </c>
    </row>
    <row r="136">
      <c r="A136" s="8" t="n"/>
      <c r="B136" s="9" t="n"/>
      <c r="C136" s="9" t="n"/>
      <c r="D136" s="9" t="n"/>
      <c r="E136" s="10" t="n"/>
      <c r="F136" s="8" t="n"/>
      <c r="G136" s="9">
        <f>IF(I136="Settled","",MAX(0,TODAY()-F136))</f>
        <v/>
      </c>
      <c r="H136" s="9">
        <f>IF(E136="","",TEXT(E136,"0.00")&amp;"|"&amp;IF(B136="Invoice","AR","AP"))</f>
        <v/>
      </c>
      <c r="I136" s="9">
        <f>IF(H136="","",IF(COUNTIF(Bank!$F:$F,H136)&gt;0,"Settled","Open"))</f>
        <v/>
      </c>
      <c r="J136" s="9">
        <f>IF(I136&lt;&gt;"Open","",IF(G136&lt;=0,"Current",IF(G136&lt;=30,"1-30",IF(G136&lt;=60,"31-60",IF(G136&lt;=90,"61-90","90+")))))</f>
        <v/>
      </c>
    </row>
    <row r="137">
      <c r="A137" s="8" t="n"/>
      <c r="B137" s="9" t="n"/>
      <c r="C137" s="9" t="n"/>
      <c r="D137" s="9" t="n"/>
      <c r="E137" s="10" t="n"/>
      <c r="F137" s="8" t="n"/>
      <c r="G137" s="9">
        <f>IF(I137="Settled","",MAX(0,TODAY()-F137))</f>
        <v/>
      </c>
      <c r="H137" s="9">
        <f>IF(E137="","",TEXT(E137,"0.00")&amp;"|"&amp;IF(B137="Invoice","AR","AP"))</f>
        <v/>
      </c>
      <c r="I137" s="9">
        <f>IF(H137="","",IF(COUNTIF(Bank!$F:$F,H137)&gt;0,"Settled","Open"))</f>
        <v/>
      </c>
      <c r="J137" s="9">
        <f>IF(I137&lt;&gt;"Open","",IF(G137&lt;=0,"Current",IF(G137&lt;=30,"1-30",IF(G137&lt;=60,"31-60",IF(G137&lt;=90,"61-90","90+")))))</f>
        <v/>
      </c>
    </row>
    <row r="138">
      <c r="A138" s="8" t="n"/>
      <c r="B138" s="9" t="n"/>
      <c r="C138" s="9" t="n"/>
      <c r="D138" s="9" t="n"/>
      <c r="E138" s="10" t="n"/>
      <c r="F138" s="8" t="n"/>
      <c r="G138" s="9">
        <f>IF(I138="Settled","",MAX(0,TODAY()-F138))</f>
        <v/>
      </c>
      <c r="H138" s="9">
        <f>IF(E138="","",TEXT(E138,"0.00")&amp;"|"&amp;IF(B138="Invoice","AR","AP"))</f>
        <v/>
      </c>
      <c r="I138" s="9">
        <f>IF(H138="","",IF(COUNTIF(Bank!$F:$F,H138)&gt;0,"Settled","Open"))</f>
        <v/>
      </c>
      <c r="J138" s="9">
        <f>IF(I138&lt;&gt;"Open","",IF(G138&lt;=0,"Current",IF(G138&lt;=30,"1-30",IF(G138&lt;=60,"31-60",IF(G138&lt;=90,"61-90","90+")))))</f>
        <v/>
      </c>
    </row>
    <row r="139">
      <c r="A139" s="8" t="n"/>
      <c r="B139" s="9" t="n"/>
      <c r="C139" s="9" t="n"/>
      <c r="D139" s="9" t="n"/>
      <c r="E139" s="10" t="n"/>
      <c r="F139" s="8" t="n"/>
      <c r="G139" s="9">
        <f>IF(I139="Settled","",MAX(0,TODAY()-F139))</f>
        <v/>
      </c>
      <c r="H139" s="9">
        <f>IF(E139="","",TEXT(E139,"0.00")&amp;"|"&amp;IF(B139="Invoice","AR","AP"))</f>
        <v/>
      </c>
      <c r="I139" s="9">
        <f>IF(H139="","",IF(COUNTIF(Bank!$F:$F,H139)&gt;0,"Settled","Open"))</f>
        <v/>
      </c>
      <c r="J139" s="9">
        <f>IF(I139&lt;&gt;"Open","",IF(G139&lt;=0,"Current",IF(G139&lt;=30,"1-30",IF(G139&lt;=60,"31-60",IF(G139&lt;=90,"61-90","90+")))))</f>
        <v/>
      </c>
    </row>
    <row r="140">
      <c r="A140" s="8" t="n"/>
      <c r="B140" s="9" t="n"/>
      <c r="C140" s="9" t="n"/>
      <c r="D140" s="9" t="n"/>
      <c r="E140" s="10" t="n"/>
      <c r="F140" s="8" t="n"/>
      <c r="G140" s="9">
        <f>IF(I140="Settled","",MAX(0,TODAY()-F140))</f>
        <v/>
      </c>
      <c r="H140" s="9">
        <f>IF(E140="","",TEXT(E140,"0.00")&amp;"|"&amp;IF(B140="Invoice","AR","AP"))</f>
        <v/>
      </c>
      <c r="I140" s="9">
        <f>IF(H140="","",IF(COUNTIF(Bank!$F:$F,H140)&gt;0,"Settled","Open"))</f>
        <v/>
      </c>
      <c r="J140" s="9">
        <f>IF(I140&lt;&gt;"Open","",IF(G140&lt;=0,"Current",IF(G140&lt;=30,"1-30",IF(G140&lt;=60,"31-60",IF(G140&lt;=90,"61-90","90+")))))</f>
        <v/>
      </c>
    </row>
    <row r="141">
      <c r="A141" s="8" t="n"/>
      <c r="B141" s="9" t="n"/>
      <c r="C141" s="9" t="n"/>
      <c r="D141" s="9" t="n"/>
      <c r="E141" s="10" t="n"/>
      <c r="F141" s="8" t="n"/>
      <c r="G141" s="9">
        <f>IF(I141="Settled","",MAX(0,TODAY()-F141))</f>
        <v/>
      </c>
      <c r="H141" s="9">
        <f>IF(E141="","",TEXT(E141,"0.00")&amp;"|"&amp;IF(B141="Invoice","AR","AP"))</f>
        <v/>
      </c>
      <c r="I141" s="9">
        <f>IF(H141="","",IF(COUNTIF(Bank!$F:$F,H141)&gt;0,"Settled","Open"))</f>
        <v/>
      </c>
      <c r="J141" s="9">
        <f>IF(I141&lt;&gt;"Open","",IF(G141&lt;=0,"Current",IF(G141&lt;=30,"1-30",IF(G141&lt;=60,"31-60",IF(G141&lt;=90,"61-90","90+")))))</f>
        <v/>
      </c>
    </row>
    <row r="142">
      <c r="A142" s="8" t="n"/>
      <c r="B142" s="9" t="n"/>
      <c r="C142" s="9" t="n"/>
      <c r="D142" s="9" t="n"/>
      <c r="E142" s="10" t="n"/>
      <c r="F142" s="8" t="n"/>
      <c r="G142" s="9">
        <f>IF(I142="Settled","",MAX(0,TODAY()-F142))</f>
        <v/>
      </c>
      <c r="H142" s="9">
        <f>IF(E142="","",TEXT(E142,"0.00")&amp;"|"&amp;IF(B142="Invoice","AR","AP"))</f>
        <v/>
      </c>
      <c r="I142" s="9">
        <f>IF(H142="","",IF(COUNTIF(Bank!$F:$F,H142)&gt;0,"Settled","Open"))</f>
        <v/>
      </c>
      <c r="J142" s="9">
        <f>IF(I142&lt;&gt;"Open","",IF(G142&lt;=0,"Current",IF(G142&lt;=30,"1-30",IF(G142&lt;=60,"31-60",IF(G142&lt;=90,"61-90","90+")))))</f>
        <v/>
      </c>
    </row>
    <row r="143">
      <c r="A143" s="8" t="n"/>
      <c r="B143" s="9" t="n"/>
      <c r="C143" s="9" t="n"/>
      <c r="D143" s="9" t="n"/>
      <c r="E143" s="10" t="n"/>
      <c r="F143" s="8" t="n"/>
      <c r="G143" s="9">
        <f>IF(I143="Settled","",MAX(0,TODAY()-F143))</f>
        <v/>
      </c>
      <c r="H143" s="9">
        <f>IF(E143="","",TEXT(E143,"0.00")&amp;"|"&amp;IF(B143="Invoice","AR","AP"))</f>
        <v/>
      </c>
      <c r="I143" s="9">
        <f>IF(H143="","",IF(COUNTIF(Bank!$F:$F,H143)&gt;0,"Settled","Open"))</f>
        <v/>
      </c>
      <c r="J143" s="9">
        <f>IF(I143&lt;&gt;"Open","",IF(G143&lt;=0,"Current",IF(G143&lt;=30,"1-30",IF(G143&lt;=60,"31-60",IF(G143&lt;=90,"61-90","90+")))))</f>
        <v/>
      </c>
    </row>
    <row r="144">
      <c r="A144" s="8" t="n"/>
      <c r="B144" s="9" t="n"/>
      <c r="C144" s="9" t="n"/>
      <c r="D144" s="9" t="n"/>
      <c r="E144" s="10" t="n"/>
      <c r="F144" s="8" t="n"/>
      <c r="G144" s="9">
        <f>IF(I144="Settled","",MAX(0,TODAY()-F144))</f>
        <v/>
      </c>
      <c r="H144" s="9">
        <f>IF(E144="","",TEXT(E144,"0.00")&amp;"|"&amp;IF(B144="Invoice","AR","AP"))</f>
        <v/>
      </c>
      <c r="I144" s="9">
        <f>IF(H144="","",IF(COUNTIF(Bank!$F:$F,H144)&gt;0,"Settled","Open"))</f>
        <v/>
      </c>
      <c r="J144" s="9">
        <f>IF(I144&lt;&gt;"Open","",IF(G144&lt;=0,"Current",IF(G144&lt;=30,"1-30",IF(G144&lt;=60,"31-60",IF(G144&lt;=90,"61-90","90+")))))</f>
        <v/>
      </c>
    </row>
    <row r="145">
      <c r="A145" s="8" t="n"/>
      <c r="B145" s="9" t="n"/>
      <c r="C145" s="9" t="n"/>
      <c r="D145" s="9" t="n"/>
      <c r="E145" s="10" t="n"/>
      <c r="F145" s="8" t="n"/>
      <c r="G145" s="9">
        <f>IF(I145="Settled","",MAX(0,TODAY()-F145))</f>
        <v/>
      </c>
      <c r="H145" s="9">
        <f>IF(E145="","",TEXT(E145,"0.00")&amp;"|"&amp;IF(B145="Invoice","AR","AP"))</f>
        <v/>
      </c>
      <c r="I145" s="9">
        <f>IF(H145="","",IF(COUNTIF(Bank!$F:$F,H145)&gt;0,"Settled","Open"))</f>
        <v/>
      </c>
      <c r="J145" s="9">
        <f>IF(I145&lt;&gt;"Open","",IF(G145&lt;=0,"Current",IF(G145&lt;=30,"1-30",IF(G145&lt;=60,"31-60",IF(G145&lt;=90,"61-90","90+")))))</f>
        <v/>
      </c>
    </row>
    <row r="146">
      <c r="A146" s="8" t="n"/>
      <c r="B146" s="9" t="n"/>
      <c r="C146" s="9" t="n"/>
      <c r="D146" s="9" t="n"/>
      <c r="E146" s="10" t="n"/>
      <c r="F146" s="8" t="n"/>
      <c r="G146" s="9">
        <f>IF(I146="Settled","",MAX(0,TODAY()-F146))</f>
        <v/>
      </c>
      <c r="H146" s="9">
        <f>IF(E146="","",TEXT(E146,"0.00")&amp;"|"&amp;IF(B146="Invoice","AR","AP"))</f>
        <v/>
      </c>
      <c r="I146" s="9">
        <f>IF(H146="","",IF(COUNTIF(Bank!$F:$F,H146)&gt;0,"Settled","Open"))</f>
        <v/>
      </c>
      <c r="J146" s="9">
        <f>IF(I146&lt;&gt;"Open","",IF(G146&lt;=0,"Current",IF(G146&lt;=30,"1-30",IF(G146&lt;=60,"31-60",IF(G146&lt;=90,"61-90","90+")))))</f>
        <v/>
      </c>
    </row>
    <row r="147">
      <c r="A147" s="8" t="n"/>
      <c r="B147" s="9" t="n"/>
      <c r="C147" s="9" t="n"/>
      <c r="D147" s="9" t="n"/>
      <c r="E147" s="10" t="n"/>
      <c r="F147" s="8" t="n"/>
      <c r="G147" s="9">
        <f>IF(I147="Settled","",MAX(0,TODAY()-F147))</f>
        <v/>
      </c>
      <c r="H147" s="9">
        <f>IF(E147="","",TEXT(E147,"0.00")&amp;"|"&amp;IF(B147="Invoice","AR","AP"))</f>
        <v/>
      </c>
      <c r="I147" s="9">
        <f>IF(H147="","",IF(COUNTIF(Bank!$F:$F,H147)&gt;0,"Settled","Open"))</f>
        <v/>
      </c>
      <c r="J147" s="9">
        <f>IF(I147&lt;&gt;"Open","",IF(G147&lt;=0,"Current",IF(G147&lt;=30,"1-30",IF(G147&lt;=60,"31-60",IF(G147&lt;=90,"61-90","90+")))))</f>
        <v/>
      </c>
    </row>
    <row r="148">
      <c r="A148" s="8" t="n"/>
      <c r="B148" s="9" t="n"/>
      <c r="C148" s="9" t="n"/>
      <c r="D148" s="9" t="n"/>
      <c r="E148" s="10" t="n"/>
      <c r="F148" s="8" t="n"/>
      <c r="G148" s="9">
        <f>IF(I148="Settled","",MAX(0,TODAY()-F148))</f>
        <v/>
      </c>
      <c r="H148" s="9">
        <f>IF(E148="","",TEXT(E148,"0.00")&amp;"|"&amp;IF(B148="Invoice","AR","AP"))</f>
        <v/>
      </c>
      <c r="I148" s="9">
        <f>IF(H148="","",IF(COUNTIF(Bank!$F:$F,H148)&gt;0,"Settled","Open"))</f>
        <v/>
      </c>
      <c r="J148" s="9">
        <f>IF(I148&lt;&gt;"Open","",IF(G148&lt;=0,"Current",IF(G148&lt;=30,"1-30",IF(G148&lt;=60,"31-60",IF(G148&lt;=90,"61-90","90+")))))</f>
        <v/>
      </c>
    </row>
    <row r="149">
      <c r="A149" s="8" t="n"/>
      <c r="B149" s="9" t="n"/>
      <c r="C149" s="9" t="n"/>
      <c r="D149" s="9" t="n"/>
      <c r="E149" s="10" t="n"/>
      <c r="F149" s="8" t="n"/>
      <c r="G149" s="9">
        <f>IF(I149="Settled","",MAX(0,TODAY()-F149))</f>
        <v/>
      </c>
      <c r="H149" s="9">
        <f>IF(E149="","",TEXT(E149,"0.00")&amp;"|"&amp;IF(B149="Invoice","AR","AP"))</f>
        <v/>
      </c>
      <c r="I149" s="9">
        <f>IF(H149="","",IF(COUNTIF(Bank!$F:$F,H149)&gt;0,"Settled","Open"))</f>
        <v/>
      </c>
      <c r="J149" s="9">
        <f>IF(I149&lt;&gt;"Open","",IF(G149&lt;=0,"Current",IF(G149&lt;=30,"1-30",IF(G149&lt;=60,"31-60",IF(G149&lt;=90,"61-90","90+")))))</f>
        <v/>
      </c>
    </row>
    <row r="150">
      <c r="A150" s="8" t="n"/>
      <c r="B150" s="9" t="n"/>
      <c r="C150" s="9" t="n"/>
      <c r="D150" s="9" t="n"/>
      <c r="E150" s="10" t="n"/>
      <c r="F150" s="8" t="n"/>
      <c r="G150" s="9">
        <f>IF(I150="Settled","",MAX(0,TODAY()-F150))</f>
        <v/>
      </c>
      <c r="H150" s="9">
        <f>IF(E150="","",TEXT(E150,"0.00")&amp;"|"&amp;IF(B150="Invoice","AR","AP"))</f>
        <v/>
      </c>
      <c r="I150" s="9">
        <f>IF(H150="","",IF(COUNTIF(Bank!$F:$F,H150)&gt;0,"Settled","Open"))</f>
        <v/>
      </c>
      <c r="J150" s="9">
        <f>IF(I150&lt;&gt;"Open","",IF(G150&lt;=0,"Current",IF(G150&lt;=30,"1-30",IF(G150&lt;=60,"31-60",IF(G150&lt;=90,"61-90","90+")))))</f>
        <v/>
      </c>
    </row>
    <row r="151">
      <c r="A151" s="8" t="n"/>
      <c r="B151" s="9" t="n"/>
      <c r="C151" s="9" t="n"/>
      <c r="D151" s="9" t="n"/>
      <c r="E151" s="10" t="n"/>
      <c r="F151" s="8" t="n"/>
      <c r="G151" s="9">
        <f>IF(I151="Settled","",MAX(0,TODAY()-F151))</f>
        <v/>
      </c>
      <c r="H151" s="9">
        <f>IF(E151="","",TEXT(E151,"0.00")&amp;"|"&amp;IF(B151="Invoice","AR","AP"))</f>
        <v/>
      </c>
      <c r="I151" s="9">
        <f>IF(H151="","",IF(COUNTIF(Bank!$F:$F,H151)&gt;0,"Settled","Open"))</f>
        <v/>
      </c>
      <c r="J151" s="9">
        <f>IF(I151&lt;&gt;"Open","",IF(G151&lt;=0,"Current",IF(G151&lt;=30,"1-30",IF(G151&lt;=60,"31-60",IF(G151&lt;=90,"61-90","90+")))))</f>
        <v/>
      </c>
    </row>
    <row r="152">
      <c r="A152" s="8" t="n"/>
      <c r="B152" s="9" t="n"/>
      <c r="C152" s="9" t="n"/>
      <c r="D152" s="9" t="n"/>
      <c r="E152" s="10" t="n"/>
      <c r="F152" s="8" t="n"/>
      <c r="G152" s="9">
        <f>IF(I152="Settled","",MAX(0,TODAY()-F152))</f>
        <v/>
      </c>
      <c r="H152" s="9">
        <f>IF(E152="","",TEXT(E152,"0.00")&amp;"|"&amp;IF(B152="Invoice","AR","AP"))</f>
        <v/>
      </c>
      <c r="I152" s="9">
        <f>IF(H152="","",IF(COUNTIF(Bank!$F:$F,H152)&gt;0,"Settled","Open"))</f>
        <v/>
      </c>
      <c r="J152" s="9">
        <f>IF(I152&lt;&gt;"Open","",IF(G152&lt;=0,"Current",IF(G152&lt;=30,"1-30",IF(G152&lt;=60,"31-60",IF(G152&lt;=90,"61-90","90+")))))</f>
        <v/>
      </c>
    </row>
    <row r="153">
      <c r="A153" s="8" t="n"/>
      <c r="B153" s="9" t="n"/>
      <c r="C153" s="9" t="n"/>
      <c r="D153" s="9" t="n"/>
      <c r="E153" s="10" t="n"/>
      <c r="F153" s="8" t="n"/>
      <c r="G153" s="9">
        <f>IF(I153="Settled","",MAX(0,TODAY()-F153))</f>
        <v/>
      </c>
      <c r="H153" s="9">
        <f>IF(E153="","",TEXT(E153,"0.00")&amp;"|"&amp;IF(B153="Invoice","AR","AP"))</f>
        <v/>
      </c>
      <c r="I153" s="9">
        <f>IF(H153="","",IF(COUNTIF(Bank!$F:$F,H153)&gt;0,"Settled","Open"))</f>
        <v/>
      </c>
      <c r="J153" s="9">
        <f>IF(I153&lt;&gt;"Open","",IF(G153&lt;=0,"Current",IF(G153&lt;=30,"1-30",IF(G153&lt;=60,"31-60",IF(G153&lt;=90,"61-90","90+")))))</f>
        <v/>
      </c>
    </row>
    <row r="154">
      <c r="A154" s="8" t="n"/>
      <c r="B154" s="9" t="n"/>
      <c r="C154" s="9" t="n"/>
      <c r="D154" s="9" t="n"/>
      <c r="E154" s="10" t="n"/>
      <c r="F154" s="8" t="n"/>
      <c r="G154" s="9">
        <f>IF(I154="Settled","",MAX(0,TODAY()-F154))</f>
        <v/>
      </c>
      <c r="H154" s="9">
        <f>IF(E154="","",TEXT(E154,"0.00")&amp;"|"&amp;IF(B154="Invoice","AR","AP"))</f>
        <v/>
      </c>
      <c r="I154" s="9">
        <f>IF(H154="","",IF(COUNTIF(Bank!$F:$F,H154)&gt;0,"Settled","Open"))</f>
        <v/>
      </c>
      <c r="J154" s="9">
        <f>IF(I154&lt;&gt;"Open","",IF(G154&lt;=0,"Current",IF(G154&lt;=30,"1-30",IF(G154&lt;=60,"31-60",IF(G154&lt;=90,"61-90","90+")))))</f>
        <v/>
      </c>
    </row>
    <row r="155">
      <c r="A155" s="8" t="n"/>
      <c r="B155" s="9" t="n"/>
      <c r="C155" s="9" t="n"/>
      <c r="D155" s="9" t="n"/>
      <c r="E155" s="10" t="n"/>
      <c r="F155" s="8" t="n"/>
      <c r="G155" s="9">
        <f>IF(I155="Settled","",MAX(0,TODAY()-F155))</f>
        <v/>
      </c>
      <c r="H155" s="9">
        <f>IF(E155="","",TEXT(E155,"0.00")&amp;"|"&amp;IF(B155="Invoice","AR","AP"))</f>
        <v/>
      </c>
      <c r="I155" s="9">
        <f>IF(H155="","",IF(COUNTIF(Bank!$F:$F,H155)&gt;0,"Settled","Open"))</f>
        <v/>
      </c>
      <c r="J155" s="9">
        <f>IF(I155&lt;&gt;"Open","",IF(G155&lt;=0,"Current",IF(G155&lt;=30,"1-30",IF(G155&lt;=60,"31-60",IF(G155&lt;=90,"61-90","90+")))))</f>
        <v/>
      </c>
    </row>
    <row r="156">
      <c r="A156" s="8" t="n"/>
      <c r="B156" s="9" t="n"/>
      <c r="C156" s="9" t="n"/>
      <c r="D156" s="9" t="n"/>
      <c r="E156" s="10" t="n"/>
      <c r="F156" s="8" t="n"/>
      <c r="G156" s="9">
        <f>IF(I156="Settled","",MAX(0,TODAY()-F156))</f>
        <v/>
      </c>
      <c r="H156" s="9">
        <f>IF(E156="","",TEXT(E156,"0.00")&amp;"|"&amp;IF(B156="Invoice","AR","AP"))</f>
        <v/>
      </c>
      <c r="I156" s="9">
        <f>IF(H156="","",IF(COUNTIF(Bank!$F:$F,H156)&gt;0,"Settled","Open"))</f>
        <v/>
      </c>
      <c r="J156" s="9">
        <f>IF(I156&lt;&gt;"Open","",IF(G156&lt;=0,"Current",IF(G156&lt;=30,"1-30",IF(G156&lt;=60,"31-60",IF(G156&lt;=90,"61-90","90+")))))</f>
        <v/>
      </c>
    </row>
    <row r="157">
      <c r="A157" s="8" t="n"/>
      <c r="B157" s="9" t="n"/>
      <c r="C157" s="9" t="n"/>
      <c r="D157" s="9" t="n"/>
      <c r="E157" s="10" t="n"/>
      <c r="F157" s="8" t="n"/>
      <c r="G157" s="9">
        <f>IF(I157="Settled","",MAX(0,TODAY()-F157))</f>
        <v/>
      </c>
      <c r="H157" s="9">
        <f>IF(E157="","",TEXT(E157,"0.00")&amp;"|"&amp;IF(B157="Invoice","AR","AP"))</f>
        <v/>
      </c>
      <c r="I157" s="9">
        <f>IF(H157="","",IF(COUNTIF(Bank!$F:$F,H157)&gt;0,"Settled","Open"))</f>
        <v/>
      </c>
      <c r="J157" s="9">
        <f>IF(I157&lt;&gt;"Open","",IF(G157&lt;=0,"Current",IF(G157&lt;=30,"1-30",IF(G157&lt;=60,"31-60",IF(G157&lt;=90,"61-90","90+")))))</f>
        <v/>
      </c>
    </row>
    <row r="158">
      <c r="A158" s="8" t="n"/>
      <c r="B158" s="9" t="n"/>
      <c r="C158" s="9" t="n"/>
      <c r="D158" s="9" t="n"/>
      <c r="E158" s="10" t="n"/>
      <c r="F158" s="8" t="n"/>
      <c r="G158" s="9">
        <f>IF(I158="Settled","",MAX(0,TODAY()-F158))</f>
        <v/>
      </c>
      <c r="H158" s="9">
        <f>IF(E158="","",TEXT(E158,"0.00")&amp;"|"&amp;IF(B158="Invoice","AR","AP"))</f>
        <v/>
      </c>
      <c r="I158" s="9">
        <f>IF(H158="","",IF(COUNTIF(Bank!$F:$F,H158)&gt;0,"Settled","Open"))</f>
        <v/>
      </c>
      <c r="J158" s="9">
        <f>IF(I158&lt;&gt;"Open","",IF(G158&lt;=0,"Current",IF(G158&lt;=30,"1-30",IF(G158&lt;=60,"31-60",IF(G158&lt;=90,"61-90","90+")))))</f>
        <v/>
      </c>
    </row>
    <row r="159">
      <c r="A159" s="8" t="n"/>
      <c r="B159" s="9" t="n"/>
      <c r="C159" s="9" t="n"/>
      <c r="D159" s="9" t="n"/>
      <c r="E159" s="10" t="n"/>
      <c r="F159" s="8" t="n"/>
      <c r="G159" s="9">
        <f>IF(I159="Settled","",MAX(0,TODAY()-F159))</f>
        <v/>
      </c>
      <c r="H159" s="9">
        <f>IF(E159="","",TEXT(E159,"0.00")&amp;"|"&amp;IF(B159="Invoice","AR","AP"))</f>
        <v/>
      </c>
      <c r="I159" s="9">
        <f>IF(H159="","",IF(COUNTIF(Bank!$F:$F,H159)&gt;0,"Settled","Open"))</f>
        <v/>
      </c>
      <c r="J159" s="9">
        <f>IF(I159&lt;&gt;"Open","",IF(G159&lt;=0,"Current",IF(G159&lt;=30,"1-30",IF(G159&lt;=60,"31-60",IF(G159&lt;=90,"61-90","90+")))))</f>
        <v/>
      </c>
    </row>
    <row r="160">
      <c r="A160" s="8" t="n"/>
      <c r="B160" s="9" t="n"/>
      <c r="C160" s="9" t="n"/>
      <c r="D160" s="9" t="n"/>
      <c r="E160" s="10" t="n"/>
      <c r="F160" s="8" t="n"/>
      <c r="G160" s="9">
        <f>IF(I160="Settled","",MAX(0,TODAY()-F160))</f>
        <v/>
      </c>
      <c r="H160" s="9">
        <f>IF(E160="","",TEXT(E160,"0.00")&amp;"|"&amp;IF(B160="Invoice","AR","AP"))</f>
        <v/>
      </c>
      <c r="I160" s="9">
        <f>IF(H160="","",IF(COUNTIF(Bank!$F:$F,H160)&gt;0,"Settled","Open"))</f>
        <v/>
      </c>
      <c r="J160" s="9">
        <f>IF(I160&lt;&gt;"Open","",IF(G160&lt;=0,"Current",IF(G160&lt;=30,"1-30",IF(G160&lt;=60,"31-60",IF(G160&lt;=90,"61-90","90+")))))</f>
        <v/>
      </c>
    </row>
    <row r="161">
      <c r="A161" s="8" t="n"/>
      <c r="B161" s="9" t="n"/>
      <c r="C161" s="9" t="n"/>
      <c r="D161" s="9" t="n"/>
      <c r="E161" s="10" t="n"/>
      <c r="F161" s="8" t="n"/>
      <c r="G161" s="9">
        <f>IF(I161="Settled","",MAX(0,TODAY()-F161))</f>
        <v/>
      </c>
      <c r="H161" s="9">
        <f>IF(E161="","",TEXT(E161,"0.00")&amp;"|"&amp;IF(B161="Invoice","AR","AP"))</f>
        <v/>
      </c>
      <c r="I161" s="9">
        <f>IF(H161="","",IF(COUNTIF(Bank!$F:$F,H161)&gt;0,"Settled","Open"))</f>
        <v/>
      </c>
      <c r="J161" s="9">
        <f>IF(I161&lt;&gt;"Open","",IF(G161&lt;=0,"Current",IF(G161&lt;=30,"1-30",IF(G161&lt;=60,"31-60",IF(G161&lt;=90,"61-90","90+")))))</f>
        <v/>
      </c>
    </row>
    <row r="162">
      <c r="A162" s="8" t="n"/>
      <c r="B162" s="9" t="n"/>
      <c r="C162" s="9" t="n"/>
      <c r="D162" s="9" t="n"/>
      <c r="E162" s="10" t="n"/>
      <c r="F162" s="8" t="n"/>
      <c r="G162" s="9">
        <f>IF(I162="Settled","",MAX(0,TODAY()-F162))</f>
        <v/>
      </c>
      <c r="H162" s="9">
        <f>IF(E162="","",TEXT(E162,"0.00")&amp;"|"&amp;IF(B162="Invoice","AR","AP"))</f>
        <v/>
      </c>
      <c r="I162" s="9">
        <f>IF(H162="","",IF(COUNTIF(Bank!$F:$F,H162)&gt;0,"Settled","Open"))</f>
        <v/>
      </c>
      <c r="J162" s="9">
        <f>IF(I162&lt;&gt;"Open","",IF(G162&lt;=0,"Current",IF(G162&lt;=30,"1-30",IF(G162&lt;=60,"31-60",IF(G162&lt;=90,"61-90","90+")))))</f>
        <v/>
      </c>
    </row>
    <row r="163">
      <c r="A163" s="8" t="n"/>
      <c r="B163" s="9" t="n"/>
      <c r="C163" s="9" t="n"/>
      <c r="D163" s="9" t="n"/>
      <c r="E163" s="10" t="n"/>
      <c r="F163" s="8" t="n"/>
      <c r="G163" s="9">
        <f>IF(I163="Settled","",MAX(0,TODAY()-F163))</f>
        <v/>
      </c>
      <c r="H163" s="9">
        <f>IF(E163="","",TEXT(E163,"0.00")&amp;"|"&amp;IF(B163="Invoice","AR","AP"))</f>
        <v/>
      </c>
      <c r="I163" s="9">
        <f>IF(H163="","",IF(COUNTIF(Bank!$F:$F,H163)&gt;0,"Settled","Open"))</f>
        <v/>
      </c>
      <c r="J163" s="9">
        <f>IF(I163&lt;&gt;"Open","",IF(G163&lt;=0,"Current",IF(G163&lt;=30,"1-30",IF(G163&lt;=60,"31-60",IF(G163&lt;=90,"61-90","90+")))))</f>
        <v/>
      </c>
    </row>
    <row r="164">
      <c r="A164" s="8" t="n"/>
      <c r="B164" s="9" t="n"/>
      <c r="C164" s="9" t="n"/>
      <c r="D164" s="9" t="n"/>
      <c r="E164" s="10" t="n"/>
      <c r="F164" s="8" t="n"/>
      <c r="G164" s="9">
        <f>IF(I164="Settled","",MAX(0,TODAY()-F164))</f>
        <v/>
      </c>
      <c r="H164" s="9">
        <f>IF(E164="","",TEXT(E164,"0.00")&amp;"|"&amp;IF(B164="Invoice","AR","AP"))</f>
        <v/>
      </c>
      <c r="I164" s="9">
        <f>IF(H164="","",IF(COUNTIF(Bank!$F:$F,H164)&gt;0,"Settled","Open"))</f>
        <v/>
      </c>
      <c r="J164" s="9">
        <f>IF(I164&lt;&gt;"Open","",IF(G164&lt;=0,"Current",IF(G164&lt;=30,"1-30",IF(G164&lt;=60,"31-60",IF(G164&lt;=90,"61-90","90+")))))</f>
        <v/>
      </c>
    </row>
    <row r="165">
      <c r="A165" s="8" t="n"/>
      <c r="B165" s="9" t="n"/>
      <c r="C165" s="9" t="n"/>
      <c r="D165" s="9" t="n"/>
      <c r="E165" s="10" t="n"/>
      <c r="F165" s="8" t="n"/>
      <c r="G165" s="9">
        <f>IF(I165="Settled","",MAX(0,TODAY()-F165))</f>
        <v/>
      </c>
      <c r="H165" s="9">
        <f>IF(E165="","",TEXT(E165,"0.00")&amp;"|"&amp;IF(B165="Invoice","AR","AP"))</f>
        <v/>
      </c>
      <c r="I165" s="9">
        <f>IF(H165="","",IF(COUNTIF(Bank!$F:$F,H165)&gt;0,"Settled","Open"))</f>
        <v/>
      </c>
      <c r="J165" s="9">
        <f>IF(I165&lt;&gt;"Open","",IF(G165&lt;=0,"Current",IF(G165&lt;=30,"1-30",IF(G165&lt;=60,"31-60",IF(G165&lt;=90,"61-90","90+")))))</f>
        <v/>
      </c>
    </row>
    <row r="166">
      <c r="A166" s="8" t="n"/>
      <c r="B166" s="9" t="n"/>
      <c r="C166" s="9" t="n"/>
      <c r="D166" s="9" t="n"/>
      <c r="E166" s="10" t="n"/>
      <c r="F166" s="8" t="n"/>
      <c r="G166" s="9">
        <f>IF(I166="Settled","",MAX(0,TODAY()-F166))</f>
        <v/>
      </c>
      <c r="H166" s="9">
        <f>IF(E166="","",TEXT(E166,"0.00")&amp;"|"&amp;IF(B166="Invoice","AR","AP"))</f>
        <v/>
      </c>
      <c r="I166" s="9">
        <f>IF(H166="","",IF(COUNTIF(Bank!$F:$F,H166)&gt;0,"Settled","Open"))</f>
        <v/>
      </c>
      <c r="J166" s="9">
        <f>IF(I166&lt;&gt;"Open","",IF(G166&lt;=0,"Current",IF(G166&lt;=30,"1-30",IF(G166&lt;=60,"31-60",IF(G166&lt;=90,"61-90","90+")))))</f>
        <v/>
      </c>
    </row>
    <row r="167">
      <c r="A167" s="8" t="n"/>
      <c r="B167" s="9" t="n"/>
      <c r="C167" s="9" t="n"/>
      <c r="D167" s="9" t="n"/>
      <c r="E167" s="10" t="n"/>
      <c r="F167" s="8" t="n"/>
      <c r="G167" s="9">
        <f>IF(I167="Settled","",MAX(0,TODAY()-F167))</f>
        <v/>
      </c>
      <c r="H167" s="9">
        <f>IF(E167="","",TEXT(E167,"0.00")&amp;"|"&amp;IF(B167="Invoice","AR","AP"))</f>
        <v/>
      </c>
      <c r="I167" s="9">
        <f>IF(H167="","",IF(COUNTIF(Bank!$F:$F,H167)&gt;0,"Settled","Open"))</f>
        <v/>
      </c>
      <c r="J167" s="9">
        <f>IF(I167&lt;&gt;"Open","",IF(G167&lt;=0,"Current",IF(G167&lt;=30,"1-30",IF(G167&lt;=60,"31-60",IF(G167&lt;=90,"61-90","90+")))))</f>
        <v/>
      </c>
    </row>
    <row r="168">
      <c r="A168" s="8" t="n"/>
      <c r="B168" s="9" t="n"/>
      <c r="C168" s="9" t="n"/>
      <c r="D168" s="9" t="n"/>
      <c r="E168" s="10" t="n"/>
      <c r="F168" s="8" t="n"/>
      <c r="G168" s="9">
        <f>IF(I168="Settled","",MAX(0,TODAY()-F168))</f>
        <v/>
      </c>
      <c r="H168" s="9">
        <f>IF(E168="","",TEXT(E168,"0.00")&amp;"|"&amp;IF(B168="Invoice","AR","AP"))</f>
        <v/>
      </c>
      <c r="I168" s="9">
        <f>IF(H168="","",IF(COUNTIF(Bank!$F:$F,H168)&gt;0,"Settled","Open"))</f>
        <v/>
      </c>
      <c r="J168" s="9">
        <f>IF(I168&lt;&gt;"Open","",IF(G168&lt;=0,"Current",IF(G168&lt;=30,"1-30",IF(G168&lt;=60,"31-60",IF(G168&lt;=90,"61-90","90+")))))</f>
        <v/>
      </c>
    </row>
    <row r="169">
      <c r="A169" s="8" t="n"/>
      <c r="B169" s="9" t="n"/>
      <c r="C169" s="9" t="n"/>
      <c r="D169" s="9" t="n"/>
      <c r="E169" s="10" t="n"/>
      <c r="F169" s="8" t="n"/>
      <c r="G169" s="9">
        <f>IF(I169="Settled","",MAX(0,TODAY()-F169))</f>
        <v/>
      </c>
      <c r="H169" s="9">
        <f>IF(E169="","",TEXT(E169,"0.00")&amp;"|"&amp;IF(B169="Invoice","AR","AP"))</f>
        <v/>
      </c>
      <c r="I169" s="9">
        <f>IF(H169="","",IF(COUNTIF(Bank!$F:$F,H169)&gt;0,"Settled","Open"))</f>
        <v/>
      </c>
      <c r="J169" s="9">
        <f>IF(I169&lt;&gt;"Open","",IF(G169&lt;=0,"Current",IF(G169&lt;=30,"1-30",IF(G169&lt;=60,"31-60",IF(G169&lt;=90,"61-90","90+")))))</f>
        <v/>
      </c>
    </row>
    <row r="170">
      <c r="A170" s="8" t="n"/>
      <c r="B170" s="9" t="n"/>
      <c r="C170" s="9" t="n"/>
      <c r="D170" s="9" t="n"/>
      <c r="E170" s="10" t="n"/>
      <c r="F170" s="8" t="n"/>
      <c r="G170" s="9">
        <f>IF(I170="Settled","",MAX(0,TODAY()-F170))</f>
        <v/>
      </c>
      <c r="H170" s="9">
        <f>IF(E170="","",TEXT(E170,"0.00")&amp;"|"&amp;IF(B170="Invoice","AR","AP"))</f>
        <v/>
      </c>
      <c r="I170" s="9">
        <f>IF(H170="","",IF(COUNTIF(Bank!$F:$F,H170)&gt;0,"Settled","Open"))</f>
        <v/>
      </c>
      <c r="J170" s="9">
        <f>IF(I170&lt;&gt;"Open","",IF(G170&lt;=0,"Current",IF(G170&lt;=30,"1-30",IF(G170&lt;=60,"31-60",IF(G170&lt;=90,"61-90","90+")))))</f>
        <v/>
      </c>
    </row>
    <row r="171">
      <c r="A171" s="8" t="n"/>
      <c r="B171" s="9" t="n"/>
      <c r="C171" s="9" t="n"/>
      <c r="D171" s="9" t="n"/>
      <c r="E171" s="10" t="n"/>
      <c r="F171" s="8" t="n"/>
      <c r="G171" s="9">
        <f>IF(I171="Settled","",MAX(0,TODAY()-F171))</f>
        <v/>
      </c>
      <c r="H171" s="9">
        <f>IF(E171="","",TEXT(E171,"0.00")&amp;"|"&amp;IF(B171="Invoice","AR","AP"))</f>
        <v/>
      </c>
      <c r="I171" s="9">
        <f>IF(H171="","",IF(COUNTIF(Bank!$F:$F,H171)&gt;0,"Settled","Open"))</f>
        <v/>
      </c>
      <c r="J171" s="9">
        <f>IF(I171&lt;&gt;"Open","",IF(G171&lt;=0,"Current",IF(G171&lt;=30,"1-30",IF(G171&lt;=60,"31-60",IF(G171&lt;=90,"61-90","90+")))))</f>
        <v/>
      </c>
    </row>
    <row r="172">
      <c r="A172" s="8" t="n"/>
      <c r="B172" s="9" t="n"/>
      <c r="C172" s="9" t="n"/>
      <c r="D172" s="9" t="n"/>
      <c r="E172" s="10" t="n"/>
      <c r="F172" s="8" t="n"/>
      <c r="G172" s="9">
        <f>IF(I172="Settled","",MAX(0,TODAY()-F172))</f>
        <v/>
      </c>
      <c r="H172" s="9">
        <f>IF(E172="","",TEXT(E172,"0.00")&amp;"|"&amp;IF(B172="Invoice","AR","AP"))</f>
        <v/>
      </c>
      <c r="I172" s="9">
        <f>IF(H172="","",IF(COUNTIF(Bank!$F:$F,H172)&gt;0,"Settled","Open"))</f>
        <v/>
      </c>
      <c r="J172" s="9">
        <f>IF(I172&lt;&gt;"Open","",IF(G172&lt;=0,"Current",IF(G172&lt;=30,"1-30",IF(G172&lt;=60,"31-60",IF(G172&lt;=90,"61-90","90+")))))</f>
        <v/>
      </c>
    </row>
    <row r="173">
      <c r="A173" s="8" t="n"/>
      <c r="B173" s="9" t="n"/>
      <c r="C173" s="9" t="n"/>
      <c r="D173" s="9" t="n"/>
      <c r="E173" s="10" t="n"/>
      <c r="F173" s="8" t="n"/>
      <c r="G173" s="9">
        <f>IF(I173="Settled","",MAX(0,TODAY()-F173))</f>
        <v/>
      </c>
      <c r="H173" s="9">
        <f>IF(E173="","",TEXT(E173,"0.00")&amp;"|"&amp;IF(B173="Invoice","AR","AP"))</f>
        <v/>
      </c>
      <c r="I173" s="9">
        <f>IF(H173="","",IF(COUNTIF(Bank!$F:$F,H173)&gt;0,"Settled","Open"))</f>
        <v/>
      </c>
      <c r="J173" s="9">
        <f>IF(I173&lt;&gt;"Open","",IF(G173&lt;=0,"Current",IF(G173&lt;=30,"1-30",IF(G173&lt;=60,"31-60",IF(G173&lt;=90,"61-90","90+")))))</f>
        <v/>
      </c>
    </row>
    <row r="174">
      <c r="A174" s="8" t="n"/>
      <c r="B174" s="9" t="n"/>
      <c r="C174" s="9" t="n"/>
      <c r="D174" s="9" t="n"/>
      <c r="E174" s="10" t="n"/>
      <c r="F174" s="8" t="n"/>
      <c r="G174" s="9">
        <f>IF(I174="Settled","",MAX(0,TODAY()-F174))</f>
        <v/>
      </c>
      <c r="H174" s="9">
        <f>IF(E174="","",TEXT(E174,"0.00")&amp;"|"&amp;IF(B174="Invoice","AR","AP"))</f>
        <v/>
      </c>
      <c r="I174" s="9">
        <f>IF(H174="","",IF(COUNTIF(Bank!$F:$F,H174)&gt;0,"Settled","Open"))</f>
        <v/>
      </c>
      <c r="J174" s="9">
        <f>IF(I174&lt;&gt;"Open","",IF(G174&lt;=0,"Current",IF(G174&lt;=30,"1-30",IF(G174&lt;=60,"31-60",IF(G174&lt;=90,"61-90","90+")))))</f>
        <v/>
      </c>
    </row>
    <row r="175">
      <c r="A175" s="8" t="n"/>
      <c r="B175" s="9" t="n"/>
      <c r="C175" s="9" t="n"/>
      <c r="D175" s="9" t="n"/>
      <c r="E175" s="10" t="n"/>
      <c r="F175" s="8" t="n"/>
      <c r="G175" s="9">
        <f>IF(I175="Settled","",MAX(0,TODAY()-F175))</f>
        <v/>
      </c>
      <c r="H175" s="9">
        <f>IF(E175="","",TEXT(E175,"0.00")&amp;"|"&amp;IF(B175="Invoice","AR","AP"))</f>
        <v/>
      </c>
      <c r="I175" s="9">
        <f>IF(H175="","",IF(COUNTIF(Bank!$F:$F,H175)&gt;0,"Settled","Open"))</f>
        <v/>
      </c>
      <c r="J175" s="9">
        <f>IF(I175&lt;&gt;"Open","",IF(G175&lt;=0,"Current",IF(G175&lt;=30,"1-30",IF(G175&lt;=60,"31-60",IF(G175&lt;=90,"61-90","90+")))))</f>
        <v/>
      </c>
    </row>
    <row r="176">
      <c r="A176" s="8" t="n"/>
      <c r="B176" s="9" t="n"/>
      <c r="C176" s="9" t="n"/>
      <c r="D176" s="9" t="n"/>
      <c r="E176" s="10" t="n"/>
      <c r="F176" s="8" t="n"/>
      <c r="G176" s="9">
        <f>IF(I176="Settled","",MAX(0,TODAY()-F176))</f>
        <v/>
      </c>
      <c r="H176" s="9">
        <f>IF(E176="","",TEXT(E176,"0.00")&amp;"|"&amp;IF(B176="Invoice","AR","AP"))</f>
        <v/>
      </c>
      <c r="I176" s="9">
        <f>IF(H176="","",IF(COUNTIF(Bank!$F:$F,H176)&gt;0,"Settled","Open"))</f>
        <v/>
      </c>
      <c r="J176" s="9">
        <f>IF(I176&lt;&gt;"Open","",IF(G176&lt;=0,"Current",IF(G176&lt;=30,"1-30",IF(G176&lt;=60,"31-60",IF(G176&lt;=90,"61-90","90+")))))</f>
        <v/>
      </c>
    </row>
    <row r="177">
      <c r="A177" s="8" t="n"/>
      <c r="B177" s="9" t="n"/>
      <c r="C177" s="9" t="n"/>
      <c r="D177" s="9" t="n"/>
      <c r="E177" s="10" t="n"/>
      <c r="F177" s="8" t="n"/>
      <c r="G177" s="9">
        <f>IF(I177="Settled","",MAX(0,TODAY()-F177))</f>
        <v/>
      </c>
      <c r="H177" s="9">
        <f>IF(E177="","",TEXT(E177,"0.00")&amp;"|"&amp;IF(B177="Invoice","AR","AP"))</f>
        <v/>
      </c>
      <c r="I177" s="9">
        <f>IF(H177="","",IF(COUNTIF(Bank!$F:$F,H177)&gt;0,"Settled","Open"))</f>
        <v/>
      </c>
      <c r="J177" s="9">
        <f>IF(I177&lt;&gt;"Open","",IF(G177&lt;=0,"Current",IF(G177&lt;=30,"1-30",IF(G177&lt;=60,"31-60",IF(G177&lt;=90,"61-90","90+")))))</f>
        <v/>
      </c>
    </row>
    <row r="178">
      <c r="A178" s="8" t="n"/>
      <c r="B178" s="9" t="n"/>
      <c r="C178" s="9" t="n"/>
      <c r="D178" s="9" t="n"/>
      <c r="E178" s="10" t="n"/>
      <c r="F178" s="8" t="n"/>
      <c r="G178" s="9">
        <f>IF(I178="Settled","",MAX(0,TODAY()-F178))</f>
        <v/>
      </c>
      <c r="H178" s="9">
        <f>IF(E178="","",TEXT(E178,"0.00")&amp;"|"&amp;IF(B178="Invoice","AR","AP"))</f>
        <v/>
      </c>
      <c r="I178" s="9">
        <f>IF(H178="","",IF(COUNTIF(Bank!$F:$F,H178)&gt;0,"Settled","Open"))</f>
        <v/>
      </c>
      <c r="J178" s="9">
        <f>IF(I178&lt;&gt;"Open","",IF(G178&lt;=0,"Current",IF(G178&lt;=30,"1-30",IF(G178&lt;=60,"31-60",IF(G178&lt;=90,"61-90","90+")))))</f>
        <v/>
      </c>
    </row>
    <row r="179">
      <c r="A179" s="8" t="n"/>
      <c r="B179" s="9" t="n"/>
      <c r="C179" s="9" t="n"/>
      <c r="D179" s="9" t="n"/>
      <c r="E179" s="10" t="n"/>
      <c r="F179" s="8" t="n"/>
      <c r="G179" s="9">
        <f>IF(I179="Settled","",MAX(0,TODAY()-F179))</f>
        <v/>
      </c>
      <c r="H179" s="9">
        <f>IF(E179="","",TEXT(E179,"0.00")&amp;"|"&amp;IF(B179="Invoice","AR","AP"))</f>
        <v/>
      </c>
      <c r="I179" s="9">
        <f>IF(H179="","",IF(COUNTIF(Bank!$F:$F,H179)&gt;0,"Settled","Open"))</f>
        <v/>
      </c>
      <c r="J179" s="9">
        <f>IF(I179&lt;&gt;"Open","",IF(G179&lt;=0,"Current",IF(G179&lt;=30,"1-30",IF(G179&lt;=60,"31-60",IF(G179&lt;=90,"61-90","90+")))))</f>
        <v/>
      </c>
    </row>
    <row r="180">
      <c r="A180" s="8" t="n"/>
      <c r="B180" s="9" t="n"/>
      <c r="C180" s="9" t="n"/>
      <c r="D180" s="9" t="n"/>
      <c r="E180" s="10" t="n"/>
      <c r="F180" s="8" t="n"/>
      <c r="G180" s="9">
        <f>IF(I180="Settled","",MAX(0,TODAY()-F180))</f>
        <v/>
      </c>
      <c r="H180" s="9">
        <f>IF(E180="","",TEXT(E180,"0.00")&amp;"|"&amp;IF(B180="Invoice","AR","AP"))</f>
        <v/>
      </c>
      <c r="I180" s="9">
        <f>IF(H180="","",IF(COUNTIF(Bank!$F:$F,H180)&gt;0,"Settled","Open"))</f>
        <v/>
      </c>
      <c r="J180" s="9">
        <f>IF(I180&lt;&gt;"Open","",IF(G180&lt;=0,"Current",IF(G180&lt;=30,"1-30",IF(G180&lt;=60,"31-60",IF(G180&lt;=90,"61-90","90+")))))</f>
        <v/>
      </c>
    </row>
    <row r="181">
      <c r="A181" s="8" t="n"/>
      <c r="B181" s="9" t="n"/>
      <c r="C181" s="9" t="n"/>
      <c r="D181" s="9" t="n"/>
      <c r="E181" s="10" t="n"/>
      <c r="F181" s="8" t="n"/>
      <c r="G181" s="9">
        <f>IF(I181="Settled","",MAX(0,TODAY()-F181))</f>
        <v/>
      </c>
      <c r="H181" s="9">
        <f>IF(E181="","",TEXT(E181,"0.00")&amp;"|"&amp;IF(B181="Invoice","AR","AP"))</f>
        <v/>
      </c>
      <c r="I181" s="9">
        <f>IF(H181="","",IF(COUNTIF(Bank!$F:$F,H181)&gt;0,"Settled","Open"))</f>
        <v/>
      </c>
      <c r="J181" s="9">
        <f>IF(I181&lt;&gt;"Open","",IF(G181&lt;=0,"Current",IF(G181&lt;=30,"1-30",IF(G181&lt;=60,"31-60",IF(G181&lt;=90,"61-90","90+")))))</f>
        <v/>
      </c>
    </row>
    <row r="182">
      <c r="A182" s="8" t="n"/>
      <c r="B182" s="9" t="n"/>
      <c r="C182" s="9" t="n"/>
      <c r="D182" s="9" t="n"/>
      <c r="E182" s="10" t="n"/>
      <c r="F182" s="8" t="n"/>
      <c r="G182" s="9">
        <f>IF(I182="Settled","",MAX(0,TODAY()-F182))</f>
        <v/>
      </c>
      <c r="H182" s="9">
        <f>IF(E182="","",TEXT(E182,"0.00")&amp;"|"&amp;IF(B182="Invoice","AR","AP"))</f>
        <v/>
      </c>
      <c r="I182" s="9">
        <f>IF(H182="","",IF(COUNTIF(Bank!$F:$F,H182)&gt;0,"Settled","Open"))</f>
        <v/>
      </c>
      <c r="J182" s="9">
        <f>IF(I182&lt;&gt;"Open","",IF(G182&lt;=0,"Current",IF(G182&lt;=30,"1-30",IF(G182&lt;=60,"31-60",IF(G182&lt;=90,"61-90","90+")))))</f>
        <v/>
      </c>
    </row>
    <row r="183">
      <c r="A183" s="8" t="n"/>
      <c r="B183" s="9" t="n"/>
      <c r="C183" s="9" t="n"/>
      <c r="D183" s="9" t="n"/>
      <c r="E183" s="10" t="n"/>
      <c r="F183" s="8" t="n"/>
      <c r="G183" s="9">
        <f>IF(I183="Settled","",MAX(0,TODAY()-F183))</f>
        <v/>
      </c>
      <c r="H183" s="9">
        <f>IF(E183="","",TEXT(E183,"0.00")&amp;"|"&amp;IF(B183="Invoice","AR","AP"))</f>
        <v/>
      </c>
      <c r="I183" s="9">
        <f>IF(H183="","",IF(COUNTIF(Bank!$F:$F,H183)&gt;0,"Settled","Open"))</f>
        <v/>
      </c>
      <c r="J183" s="9">
        <f>IF(I183&lt;&gt;"Open","",IF(G183&lt;=0,"Current",IF(G183&lt;=30,"1-30",IF(G183&lt;=60,"31-60",IF(G183&lt;=90,"61-90","90+")))))</f>
        <v/>
      </c>
    </row>
    <row r="184">
      <c r="A184" s="8" t="n"/>
      <c r="B184" s="9" t="n"/>
      <c r="C184" s="9" t="n"/>
      <c r="D184" s="9" t="n"/>
      <c r="E184" s="10" t="n"/>
      <c r="F184" s="8" t="n"/>
      <c r="G184" s="9">
        <f>IF(I184="Settled","",MAX(0,TODAY()-F184))</f>
        <v/>
      </c>
      <c r="H184" s="9">
        <f>IF(E184="","",TEXT(E184,"0.00")&amp;"|"&amp;IF(B184="Invoice","AR","AP"))</f>
        <v/>
      </c>
      <c r="I184" s="9">
        <f>IF(H184="","",IF(COUNTIF(Bank!$F:$F,H184)&gt;0,"Settled","Open"))</f>
        <v/>
      </c>
      <c r="J184" s="9">
        <f>IF(I184&lt;&gt;"Open","",IF(G184&lt;=0,"Current",IF(G184&lt;=30,"1-30",IF(G184&lt;=60,"31-60",IF(G184&lt;=90,"61-90","90+")))))</f>
        <v/>
      </c>
    </row>
    <row r="185">
      <c r="A185" s="8" t="n"/>
      <c r="B185" s="9" t="n"/>
      <c r="C185" s="9" t="n"/>
      <c r="D185" s="9" t="n"/>
      <c r="E185" s="10" t="n"/>
      <c r="F185" s="8" t="n"/>
      <c r="G185" s="9">
        <f>IF(I185="Settled","",MAX(0,TODAY()-F185))</f>
        <v/>
      </c>
      <c r="H185" s="9">
        <f>IF(E185="","",TEXT(E185,"0.00")&amp;"|"&amp;IF(B185="Invoice","AR","AP"))</f>
        <v/>
      </c>
      <c r="I185" s="9">
        <f>IF(H185="","",IF(COUNTIF(Bank!$F:$F,H185)&gt;0,"Settled","Open"))</f>
        <v/>
      </c>
      <c r="J185" s="9">
        <f>IF(I185&lt;&gt;"Open","",IF(G185&lt;=0,"Current",IF(G185&lt;=30,"1-30",IF(G185&lt;=60,"31-60",IF(G185&lt;=90,"61-90","90+")))))</f>
        <v/>
      </c>
    </row>
    <row r="186">
      <c r="A186" s="8" t="n"/>
      <c r="B186" s="9" t="n"/>
      <c r="C186" s="9" t="n"/>
      <c r="D186" s="9" t="n"/>
      <c r="E186" s="10" t="n"/>
      <c r="F186" s="8" t="n"/>
      <c r="G186" s="9">
        <f>IF(I186="Settled","",MAX(0,TODAY()-F186))</f>
        <v/>
      </c>
      <c r="H186" s="9">
        <f>IF(E186="","",TEXT(E186,"0.00")&amp;"|"&amp;IF(B186="Invoice","AR","AP"))</f>
        <v/>
      </c>
      <c r="I186" s="9">
        <f>IF(H186="","",IF(COUNTIF(Bank!$F:$F,H186)&gt;0,"Settled","Open"))</f>
        <v/>
      </c>
      <c r="J186" s="9">
        <f>IF(I186&lt;&gt;"Open","",IF(G186&lt;=0,"Current",IF(G186&lt;=30,"1-30",IF(G186&lt;=60,"31-60",IF(G186&lt;=90,"61-90","90+")))))</f>
        <v/>
      </c>
    </row>
    <row r="187">
      <c r="A187" s="8" t="n"/>
      <c r="B187" s="9" t="n"/>
      <c r="C187" s="9" t="n"/>
      <c r="D187" s="9" t="n"/>
      <c r="E187" s="10" t="n"/>
      <c r="F187" s="8" t="n"/>
      <c r="G187" s="9">
        <f>IF(I187="Settled","",MAX(0,TODAY()-F187))</f>
        <v/>
      </c>
      <c r="H187" s="9">
        <f>IF(E187="","",TEXT(E187,"0.00")&amp;"|"&amp;IF(B187="Invoice","AR","AP"))</f>
        <v/>
      </c>
      <c r="I187" s="9">
        <f>IF(H187="","",IF(COUNTIF(Bank!$F:$F,H187)&gt;0,"Settled","Open"))</f>
        <v/>
      </c>
      <c r="J187" s="9">
        <f>IF(I187&lt;&gt;"Open","",IF(G187&lt;=0,"Current",IF(G187&lt;=30,"1-30",IF(G187&lt;=60,"31-60",IF(G187&lt;=90,"61-90","90+")))))</f>
        <v/>
      </c>
    </row>
    <row r="188">
      <c r="A188" s="8" t="n"/>
      <c r="B188" s="9" t="n"/>
      <c r="C188" s="9" t="n"/>
      <c r="D188" s="9" t="n"/>
      <c r="E188" s="10" t="n"/>
      <c r="F188" s="8" t="n"/>
      <c r="G188" s="9">
        <f>IF(I188="Settled","",MAX(0,TODAY()-F188))</f>
        <v/>
      </c>
      <c r="H188" s="9">
        <f>IF(E188="","",TEXT(E188,"0.00")&amp;"|"&amp;IF(B188="Invoice","AR","AP"))</f>
        <v/>
      </c>
      <c r="I188" s="9">
        <f>IF(H188="","",IF(COUNTIF(Bank!$F:$F,H188)&gt;0,"Settled","Open"))</f>
        <v/>
      </c>
      <c r="J188" s="9">
        <f>IF(I188&lt;&gt;"Open","",IF(G188&lt;=0,"Current",IF(G188&lt;=30,"1-30",IF(G188&lt;=60,"31-60",IF(G188&lt;=90,"61-90","90+")))))</f>
        <v/>
      </c>
    </row>
    <row r="189">
      <c r="A189" s="8" t="n"/>
      <c r="B189" s="9" t="n"/>
      <c r="C189" s="9" t="n"/>
      <c r="D189" s="9" t="n"/>
      <c r="E189" s="10" t="n"/>
      <c r="F189" s="8" t="n"/>
      <c r="G189" s="9">
        <f>IF(I189="Settled","",MAX(0,TODAY()-F189))</f>
        <v/>
      </c>
      <c r="H189" s="9">
        <f>IF(E189="","",TEXT(E189,"0.00")&amp;"|"&amp;IF(B189="Invoice","AR","AP"))</f>
        <v/>
      </c>
      <c r="I189" s="9">
        <f>IF(H189="","",IF(COUNTIF(Bank!$F:$F,H189)&gt;0,"Settled","Open"))</f>
        <v/>
      </c>
      <c r="J189" s="9">
        <f>IF(I189&lt;&gt;"Open","",IF(G189&lt;=0,"Current",IF(G189&lt;=30,"1-30",IF(G189&lt;=60,"31-60",IF(G189&lt;=90,"61-90","90+")))))</f>
        <v/>
      </c>
    </row>
    <row r="190">
      <c r="A190" s="8" t="n"/>
      <c r="B190" s="9" t="n"/>
      <c r="C190" s="9" t="n"/>
      <c r="D190" s="9" t="n"/>
      <c r="E190" s="10" t="n"/>
      <c r="F190" s="8" t="n"/>
      <c r="G190" s="9">
        <f>IF(I190="Settled","",MAX(0,TODAY()-F190))</f>
        <v/>
      </c>
      <c r="H190" s="9">
        <f>IF(E190="","",TEXT(E190,"0.00")&amp;"|"&amp;IF(B190="Invoice","AR","AP"))</f>
        <v/>
      </c>
      <c r="I190" s="9">
        <f>IF(H190="","",IF(COUNTIF(Bank!$F:$F,H190)&gt;0,"Settled","Open"))</f>
        <v/>
      </c>
      <c r="J190" s="9">
        <f>IF(I190&lt;&gt;"Open","",IF(G190&lt;=0,"Current",IF(G190&lt;=30,"1-30",IF(G190&lt;=60,"31-60",IF(G190&lt;=90,"61-90","90+")))))</f>
        <v/>
      </c>
    </row>
    <row r="191">
      <c r="A191" s="8" t="n"/>
      <c r="B191" s="9" t="n"/>
      <c r="C191" s="9" t="n"/>
      <c r="D191" s="9" t="n"/>
      <c r="E191" s="10" t="n"/>
      <c r="F191" s="8" t="n"/>
      <c r="G191" s="9">
        <f>IF(I191="Settled","",MAX(0,TODAY()-F191))</f>
        <v/>
      </c>
      <c r="H191" s="9">
        <f>IF(E191="","",TEXT(E191,"0.00")&amp;"|"&amp;IF(B191="Invoice","AR","AP"))</f>
        <v/>
      </c>
      <c r="I191" s="9">
        <f>IF(H191="","",IF(COUNTIF(Bank!$F:$F,H191)&gt;0,"Settled","Open"))</f>
        <v/>
      </c>
      <c r="J191" s="9">
        <f>IF(I191&lt;&gt;"Open","",IF(G191&lt;=0,"Current",IF(G191&lt;=30,"1-30",IF(G191&lt;=60,"31-60",IF(G191&lt;=90,"61-90","90+")))))</f>
        <v/>
      </c>
    </row>
    <row r="192">
      <c r="A192" s="8" t="n"/>
      <c r="B192" s="9" t="n"/>
      <c r="C192" s="9" t="n"/>
      <c r="D192" s="9" t="n"/>
      <c r="E192" s="10" t="n"/>
      <c r="F192" s="8" t="n"/>
      <c r="G192" s="9">
        <f>IF(I192="Settled","",MAX(0,TODAY()-F192))</f>
        <v/>
      </c>
      <c r="H192" s="9">
        <f>IF(E192="","",TEXT(E192,"0.00")&amp;"|"&amp;IF(B192="Invoice","AR","AP"))</f>
        <v/>
      </c>
      <c r="I192" s="9">
        <f>IF(H192="","",IF(COUNTIF(Bank!$F:$F,H192)&gt;0,"Settled","Open"))</f>
        <v/>
      </c>
      <c r="J192" s="9">
        <f>IF(I192&lt;&gt;"Open","",IF(G192&lt;=0,"Current",IF(G192&lt;=30,"1-30",IF(G192&lt;=60,"31-60",IF(G192&lt;=90,"61-90","90+")))))</f>
        <v/>
      </c>
    </row>
    <row r="193">
      <c r="A193" s="8" t="n"/>
      <c r="B193" s="9" t="n"/>
      <c r="C193" s="9" t="n"/>
      <c r="D193" s="9" t="n"/>
      <c r="E193" s="10" t="n"/>
      <c r="F193" s="8" t="n"/>
      <c r="G193" s="9">
        <f>IF(I193="Settled","",MAX(0,TODAY()-F193))</f>
        <v/>
      </c>
      <c r="H193" s="9">
        <f>IF(E193="","",TEXT(E193,"0.00")&amp;"|"&amp;IF(B193="Invoice","AR","AP"))</f>
        <v/>
      </c>
      <c r="I193" s="9">
        <f>IF(H193="","",IF(COUNTIF(Bank!$F:$F,H193)&gt;0,"Settled","Open"))</f>
        <v/>
      </c>
      <c r="J193" s="9">
        <f>IF(I193&lt;&gt;"Open","",IF(G193&lt;=0,"Current",IF(G193&lt;=30,"1-30",IF(G193&lt;=60,"31-60",IF(G193&lt;=90,"61-90","90+")))))</f>
        <v/>
      </c>
    </row>
    <row r="194">
      <c r="A194" s="8" t="n"/>
      <c r="B194" s="9" t="n"/>
      <c r="C194" s="9" t="n"/>
      <c r="D194" s="9" t="n"/>
      <c r="E194" s="10" t="n"/>
      <c r="F194" s="8" t="n"/>
      <c r="G194" s="9">
        <f>IF(I194="Settled","",MAX(0,TODAY()-F194))</f>
        <v/>
      </c>
      <c r="H194" s="9">
        <f>IF(E194="","",TEXT(E194,"0.00")&amp;"|"&amp;IF(B194="Invoice","AR","AP"))</f>
        <v/>
      </c>
      <c r="I194" s="9">
        <f>IF(H194="","",IF(COUNTIF(Bank!$F:$F,H194)&gt;0,"Settled","Open"))</f>
        <v/>
      </c>
      <c r="J194" s="9">
        <f>IF(I194&lt;&gt;"Open","",IF(G194&lt;=0,"Current",IF(G194&lt;=30,"1-30",IF(G194&lt;=60,"31-60",IF(G194&lt;=90,"61-90","90+")))))</f>
        <v/>
      </c>
    </row>
    <row r="195">
      <c r="A195" s="8" t="n"/>
      <c r="B195" s="9" t="n"/>
      <c r="C195" s="9" t="n"/>
      <c r="D195" s="9" t="n"/>
      <c r="E195" s="10" t="n"/>
      <c r="F195" s="8" t="n"/>
      <c r="G195" s="9">
        <f>IF(I195="Settled","",MAX(0,TODAY()-F195))</f>
        <v/>
      </c>
      <c r="H195" s="9">
        <f>IF(E195="","",TEXT(E195,"0.00")&amp;"|"&amp;IF(B195="Invoice","AR","AP"))</f>
        <v/>
      </c>
      <c r="I195" s="9">
        <f>IF(H195="","",IF(COUNTIF(Bank!$F:$F,H195)&gt;0,"Settled","Open"))</f>
        <v/>
      </c>
      <c r="J195" s="9">
        <f>IF(I195&lt;&gt;"Open","",IF(G195&lt;=0,"Current",IF(G195&lt;=30,"1-30",IF(G195&lt;=60,"31-60",IF(G195&lt;=90,"61-90","90+")))))</f>
        <v/>
      </c>
    </row>
    <row r="196">
      <c r="A196" s="8" t="n"/>
      <c r="B196" s="9" t="n"/>
      <c r="C196" s="9" t="n"/>
      <c r="D196" s="9" t="n"/>
      <c r="E196" s="10" t="n"/>
      <c r="F196" s="8" t="n"/>
      <c r="G196" s="9">
        <f>IF(I196="Settled","",MAX(0,TODAY()-F196))</f>
        <v/>
      </c>
      <c r="H196" s="9">
        <f>IF(E196="","",TEXT(E196,"0.00")&amp;"|"&amp;IF(B196="Invoice","AR","AP"))</f>
        <v/>
      </c>
      <c r="I196" s="9">
        <f>IF(H196="","",IF(COUNTIF(Bank!$F:$F,H196)&gt;0,"Settled","Open"))</f>
        <v/>
      </c>
      <c r="J196" s="9">
        <f>IF(I196&lt;&gt;"Open","",IF(G196&lt;=0,"Current",IF(G196&lt;=30,"1-30",IF(G196&lt;=60,"31-60",IF(G196&lt;=90,"61-90","90+")))))</f>
        <v/>
      </c>
    </row>
    <row r="197">
      <c r="A197" s="8" t="n"/>
      <c r="B197" s="9" t="n"/>
      <c r="C197" s="9" t="n"/>
      <c r="D197" s="9" t="n"/>
      <c r="E197" s="10" t="n"/>
      <c r="F197" s="8" t="n"/>
      <c r="G197" s="9">
        <f>IF(I197="Settled","",MAX(0,TODAY()-F197))</f>
        <v/>
      </c>
      <c r="H197" s="9">
        <f>IF(E197="","",TEXT(E197,"0.00")&amp;"|"&amp;IF(B197="Invoice","AR","AP"))</f>
        <v/>
      </c>
      <c r="I197" s="9">
        <f>IF(H197="","",IF(COUNTIF(Bank!$F:$F,H197)&gt;0,"Settled","Open"))</f>
        <v/>
      </c>
      <c r="J197" s="9">
        <f>IF(I197&lt;&gt;"Open","",IF(G197&lt;=0,"Current",IF(G197&lt;=30,"1-30",IF(G197&lt;=60,"31-60",IF(G197&lt;=90,"61-90","90+")))))</f>
        <v/>
      </c>
    </row>
    <row r="198">
      <c r="A198" s="8" t="n"/>
      <c r="B198" s="9" t="n"/>
      <c r="C198" s="9" t="n"/>
      <c r="D198" s="9" t="n"/>
      <c r="E198" s="10" t="n"/>
      <c r="F198" s="8" t="n"/>
      <c r="G198" s="9">
        <f>IF(I198="Settled","",MAX(0,TODAY()-F198))</f>
        <v/>
      </c>
      <c r="H198" s="9">
        <f>IF(E198="","",TEXT(E198,"0.00")&amp;"|"&amp;IF(B198="Invoice","AR","AP"))</f>
        <v/>
      </c>
      <c r="I198" s="9">
        <f>IF(H198="","",IF(COUNTIF(Bank!$F:$F,H198)&gt;0,"Settled","Open"))</f>
        <v/>
      </c>
      <c r="J198" s="9">
        <f>IF(I198&lt;&gt;"Open","",IF(G198&lt;=0,"Current",IF(G198&lt;=30,"1-30",IF(G198&lt;=60,"31-60",IF(G198&lt;=90,"61-90","90+")))))</f>
        <v/>
      </c>
    </row>
    <row r="199">
      <c r="A199" s="8" t="n"/>
      <c r="B199" s="9" t="n"/>
      <c r="C199" s="9" t="n"/>
      <c r="D199" s="9" t="n"/>
      <c r="E199" s="10" t="n"/>
      <c r="F199" s="8" t="n"/>
      <c r="G199" s="9">
        <f>IF(I199="Settled","",MAX(0,TODAY()-F199))</f>
        <v/>
      </c>
      <c r="H199" s="9">
        <f>IF(E199="","",TEXT(E199,"0.00")&amp;"|"&amp;IF(B199="Invoice","AR","AP"))</f>
        <v/>
      </c>
      <c r="I199" s="9">
        <f>IF(H199="","",IF(COUNTIF(Bank!$F:$F,H199)&gt;0,"Settled","Open"))</f>
        <v/>
      </c>
      <c r="J199" s="9">
        <f>IF(I199&lt;&gt;"Open","",IF(G199&lt;=0,"Current",IF(G199&lt;=30,"1-30",IF(G199&lt;=60,"31-60",IF(G199&lt;=90,"61-90","90+")))))</f>
        <v/>
      </c>
    </row>
    <row r="200">
      <c r="A200" s="8" t="n"/>
      <c r="B200" s="9" t="n"/>
      <c r="C200" s="9" t="n"/>
      <c r="D200" s="9" t="n"/>
      <c r="E200" s="10" t="n"/>
      <c r="F200" s="8" t="n"/>
      <c r="G200" s="9">
        <f>IF(I200="Settled","",MAX(0,TODAY()-F200))</f>
        <v/>
      </c>
      <c r="H200" s="9">
        <f>IF(E200="","",TEXT(E200,"0.00")&amp;"|"&amp;IF(B200="Invoice","AR","AP"))</f>
        <v/>
      </c>
      <c r="I200" s="9">
        <f>IF(H200="","",IF(COUNTIF(Bank!$F:$F,H200)&gt;0,"Settled","Open"))</f>
        <v/>
      </c>
      <c r="J200" s="9">
        <f>IF(I200&lt;&gt;"Open","",IF(G200&lt;=0,"Current",IF(G200&lt;=30,"1-30",IF(G200&lt;=60,"31-60",IF(G200&lt;=90,"61-90","90+")))))</f>
        <v/>
      </c>
    </row>
    <row r="201">
      <c r="A201" s="8" t="n"/>
      <c r="B201" s="9" t="n"/>
      <c r="C201" s="9" t="n"/>
      <c r="D201" s="9" t="n"/>
      <c r="E201" s="10" t="n"/>
      <c r="F201" s="8" t="n"/>
      <c r="G201" s="9">
        <f>IF(I201="Settled","",MAX(0,TODAY()-F201))</f>
        <v/>
      </c>
      <c r="H201" s="9">
        <f>IF(E201="","",TEXT(E201,"0.00")&amp;"|"&amp;IF(B201="Invoice","AR","AP"))</f>
        <v/>
      </c>
      <c r="I201" s="9">
        <f>IF(H201="","",IF(COUNTIF(Bank!$F:$F,H201)&gt;0,"Settled","Open"))</f>
        <v/>
      </c>
      <c r="J201" s="9">
        <f>IF(I201&lt;&gt;"Open","",IF(G201&lt;=0,"Current",IF(G201&lt;=30,"1-30",IF(G201&lt;=60,"31-60",IF(G201&lt;=90,"61-90","90+")))))</f>
        <v/>
      </c>
    </row>
    <row r="202">
      <c r="A202" s="8" t="n"/>
      <c r="B202" s="9" t="n"/>
      <c r="C202" s="9" t="n"/>
      <c r="D202" s="9" t="n"/>
      <c r="E202" s="10" t="n"/>
      <c r="F202" s="8" t="n"/>
      <c r="G202" s="9">
        <f>IF(I202="Settled","",MAX(0,TODAY()-F202))</f>
        <v/>
      </c>
      <c r="H202" s="9">
        <f>IF(E202="","",TEXT(E202,"0.00")&amp;"|"&amp;IF(B202="Invoice","AR","AP"))</f>
        <v/>
      </c>
      <c r="I202" s="9">
        <f>IF(H202="","",IF(COUNTIF(Bank!$F:$F,H202)&gt;0,"Settled","Open"))</f>
        <v/>
      </c>
      <c r="J202" s="9">
        <f>IF(I202&lt;&gt;"Open","",IF(G202&lt;=0,"Current",IF(G202&lt;=30,"1-30",IF(G202&lt;=60,"31-60",IF(G202&lt;=90,"61-90","90+")))))</f>
        <v/>
      </c>
    </row>
    <row r="203">
      <c r="A203" s="8" t="n"/>
      <c r="B203" s="9" t="n"/>
      <c r="C203" s="9" t="n"/>
      <c r="D203" s="9" t="n"/>
      <c r="E203" s="10" t="n"/>
      <c r="F203" s="8" t="n"/>
      <c r="G203" s="9">
        <f>IF(I203="Settled","",MAX(0,TODAY()-F203))</f>
        <v/>
      </c>
      <c r="H203" s="9">
        <f>IF(E203="","",TEXT(E203,"0.00")&amp;"|"&amp;IF(B203="Invoice","AR","AP"))</f>
        <v/>
      </c>
      <c r="I203" s="9">
        <f>IF(H203="","",IF(COUNTIF(Bank!$F:$F,H203)&gt;0,"Settled","Open"))</f>
        <v/>
      </c>
      <c r="J203" s="9">
        <f>IF(I203&lt;&gt;"Open","",IF(G203&lt;=0,"Current",IF(G203&lt;=30,"1-30",IF(G203&lt;=60,"31-60",IF(G203&lt;=90,"61-90","90+")))))</f>
        <v/>
      </c>
    </row>
    <row r="204">
      <c r="A204" s="8" t="n"/>
      <c r="B204" s="9" t="n"/>
      <c r="C204" s="9" t="n"/>
      <c r="D204" s="9" t="n"/>
      <c r="E204" s="10" t="n"/>
      <c r="F204" s="8" t="n"/>
      <c r="G204" s="9">
        <f>IF(I204="Settled","",MAX(0,TODAY()-F204))</f>
        <v/>
      </c>
      <c r="H204" s="9">
        <f>IF(E204="","",TEXT(E204,"0.00")&amp;"|"&amp;IF(B204="Invoice","AR","AP"))</f>
        <v/>
      </c>
      <c r="I204" s="9">
        <f>IF(H204="","",IF(COUNTIF(Bank!$F:$F,H204)&gt;0,"Settled","Open"))</f>
        <v/>
      </c>
      <c r="J204" s="9">
        <f>IF(I204&lt;&gt;"Open","",IF(G204&lt;=0,"Current",IF(G204&lt;=30,"1-30",IF(G204&lt;=60,"31-60",IF(G204&lt;=90,"61-90","90+")))))</f>
        <v/>
      </c>
    </row>
    <row r="205">
      <c r="A205" s="8" t="n"/>
      <c r="B205" s="9" t="n"/>
      <c r="C205" s="9" t="n"/>
      <c r="D205" s="9" t="n"/>
      <c r="E205" s="10" t="n"/>
      <c r="F205" s="8" t="n"/>
      <c r="G205" s="9">
        <f>IF(I205="Settled","",MAX(0,TODAY()-F205))</f>
        <v/>
      </c>
      <c r="H205" s="9">
        <f>IF(E205="","",TEXT(E205,"0.00")&amp;"|"&amp;IF(B205="Invoice","AR","AP"))</f>
        <v/>
      </c>
      <c r="I205" s="9">
        <f>IF(H205="","",IF(COUNTIF(Bank!$F:$F,H205)&gt;0,"Settled","Open"))</f>
        <v/>
      </c>
      <c r="J205" s="9">
        <f>IF(I205&lt;&gt;"Open","",IF(G205&lt;=0,"Current",IF(G205&lt;=30,"1-30",IF(G205&lt;=60,"31-60",IF(G205&lt;=90,"61-90","90+")))))</f>
        <v/>
      </c>
    </row>
    <row r="206">
      <c r="A206" s="8" t="n"/>
      <c r="B206" s="9" t="n"/>
      <c r="C206" s="9" t="n"/>
      <c r="D206" s="9" t="n"/>
      <c r="E206" s="10" t="n"/>
      <c r="F206" s="8" t="n"/>
      <c r="G206" s="9">
        <f>IF(I206="Settled","",MAX(0,TODAY()-F206))</f>
        <v/>
      </c>
      <c r="H206" s="9">
        <f>IF(E206="","",TEXT(E206,"0.00")&amp;"|"&amp;IF(B206="Invoice","AR","AP"))</f>
        <v/>
      </c>
      <c r="I206" s="9">
        <f>IF(H206="","",IF(COUNTIF(Bank!$F:$F,H206)&gt;0,"Settled","Open"))</f>
        <v/>
      </c>
      <c r="J206" s="9">
        <f>IF(I206&lt;&gt;"Open","",IF(G206&lt;=0,"Current",IF(G206&lt;=30,"1-30",IF(G206&lt;=60,"31-60",IF(G206&lt;=90,"61-90","90+")))))</f>
        <v/>
      </c>
    </row>
    <row r="207">
      <c r="A207" s="8" t="n"/>
      <c r="B207" s="9" t="n"/>
      <c r="C207" s="9" t="n"/>
      <c r="D207" s="9" t="n"/>
      <c r="E207" s="10" t="n"/>
      <c r="F207" s="8" t="n"/>
      <c r="G207" s="9">
        <f>IF(I207="Settled","",MAX(0,TODAY()-F207))</f>
        <v/>
      </c>
      <c r="H207" s="9">
        <f>IF(E207="","",TEXT(E207,"0.00")&amp;"|"&amp;IF(B207="Invoice","AR","AP"))</f>
        <v/>
      </c>
      <c r="I207" s="9">
        <f>IF(H207="","",IF(COUNTIF(Bank!$F:$F,H207)&gt;0,"Settled","Open"))</f>
        <v/>
      </c>
      <c r="J207" s="9">
        <f>IF(I207&lt;&gt;"Open","",IF(G207&lt;=0,"Current",IF(G207&lt;=30,"1-30",IF(G207&lt;=60,"31-60",IF(G207&lt;=90,"61-90","90+")))))</f>
        <v/>
      </c>
    </row>
    <row r="208">
      <c r="A208" s="8" t="n"/>
      <c r="B208" s="9" t="n"/>
      <c r="C208" s="9" t="n"/>
      <c r="D208" s="9" t="n"/>
      <c r="E208" s="10" t="n"/>
      <c r="F208" s="8" t="n"/>
      <c r="G208" s="9">
        <f>IF(I208="Settled","",MAX(0,TODAY()-F208))</f>
        <v/>
      </c>
      <c r="H208" s="9">
        <f>IF(E208="","",TEXT(E208,"0.00")&amp;"|"&amp;IF(B208="Invoice","AR","AP"))</f>
        <v/>
      </c>
      <c r="I208" s="9">
        <f>IF(H208="","",IF(COUNTIF(Bank!$F:$F,H208)&gt;0,"Settled","Open"))</f>
        <v/>
      </c>
      <c r="J208" s="9">
        <f>IF(I208&lt;&gt;"Open","",IF(G208&lt;=0,"Current",IF(G208&lt;=30,"1-30",IF(G208&lt;=60,"31-60",IF(G208&lt;=90,"61-90","90+")))))</f>
        <v/>
      </c>
    </row>
    <row r="209">
      <c r="A209" s="8" t="n"/>
      <c r="B209" s="9" t="n"/>
      <c r="C209" s="9" t="n"/>
      <c r="D209" s="9" t="n"/>
      <c r="E209" s="10" t="n"/>
      <c r="F209" s="8" t="n"/>
      <c r="G209" s="9">
        <f>IF(I209="Settled","",MAX(0,TODAY()-F209))</f>
        <v/>
      </c>
      <c r="H209" s="9">
        <f>IF(E209="","",TEXT(E209,"0.00")&amp;"|"&amp;IF(B209="Invoice","AR","AP"))</f>
        <v/>
      </c>
      <c r="I209" s="9">
        <f>IF(H209="","",IF(COUNTIF(Bank!$F:$F,H209)&gt;0,"Settled","Open"))</f>
        <v/>
      </c>
      <c r="J209" s="9">
        <f>IF(I209&lt;&gt;"Open","",IF(G209&lt;=0,"Current",IF(G209&lt;=30,"1-30",IF(G209&lt;=60,"31-60",IF(G209&lt;=90,"61-90","90+")))))</f>
        <v/>
      </c>
    </row>
    <row r="210">
      <c r="A210" s="8" t="n"/>
      <c r="B210" s="9" t="n"/>
      <c r="C210" s="9" t="n"/>
      <c r="D210" s="9" t="n"/>
      <c r="E210" s="10" t="n"/>
      <c r="F210" s="8" t="n"/>
      <c r="G210" s="9">
        <f>IF(I210="Settled","",MAX(0,TODAY()-F210))</f>
        <v/>
      </c>
      <c r="H210" s="9">
        <f>IF(E210="","",TEXT(E210,"0.00")&amp;"|"&amp;IF(B210="Invoice","AR","AP"))</f>
        <v/>
      </c>
      <c r="I210" s="9">
        <f>IF(H210="","",IF(COUNTIF(Bank!$F:$F,H210)&gt;0,"Settled","Open"))</f>
        <v/>
      </c>
      <c r="J210" s="9">
        <f>IF(I210&lt;&gt;"Open","",IF(G210&lt;=0,"Current",IF(G210&lt;=30,"1-30",IF(G210&lt;=60,"31-60",IF(G210&lt;=90,"61-90","90+")))))</f>
        <v/>
      </c>
    </row>
    <row r="211">
      <c r="A211" s="8" t="n"/>
      <c r="B211" s="9" t="n"/>
      <c r="C211" s="9" t="n"/>
      <c r="D211" s="9" t="n"/>
      <c r="E211" s="10" t="n"/>
      <c r="F211" s="8" t="n"/>
      <c r="G211" s="9">
        <f>IF(I211="Settled","",MAX(0,TODAY()-F211))</f>
        <v/>
      </c>
      <c r="H211" s="9">
        <f>IF(E211="","",TEXT(E211,"0.00")&amp;"|"&amp;IF(B211="Invoice","AR","AP"))</f>
        <v/>
      </c>
      <c r="I211" s="9">
        <f>IF(H211="","",IF(COUNTIF(Bank!$F:$F,H211)&gt;0,"Settled","Open"))</f>
        <v/>
      </c>
      <c r="J211" s="9">
        <f>IF(I211&lt;&gt;"Open","",IF(G211&lt;=0,"Current",IF(G211&lt;=30,"1-30",IF(G211&lt;=60,"31-60",IF(G211&lt;=90,"61-90","90+")))))</f>
        <v/>
      </c>
    </row>
    <row r="212">
      <c r="A212" s="8" t="n"/>
      <c r="B212" s="9" t="n"/>
      <c r="C212" s="9" t="n"/>
      <c r="D212" s="9" t="n"/>
      <c r="E212" s="10" t="n"/>
      <c r="F212" s="8" t="n"/>
      <c r="G212" s="9">
        <f>IF(I212="Settled","",MAX(0,TODAY()-F212))</f>
        <v/>
      </c>
      <c r="H212" s="9">
        <f>IF(E212="","",TEXT(E212,"0.00")&amp;"|"&amp;IF(B212="Invoice","AR","AP"))</f>
        <v/>
      </c>
      <c r="I212" s="9">
        <f>IF(H212="","",IF(COUNTIF(Bank!$F:$F,H212)&gt;0,"Settled","Open"))</f>
        <v/>
      </c>
      <c r="J212" s="9">
        <f>IF(I212&lt;&gt;"Open","",IF(G212&lt;=0,"Current",IF(G212&lt;=30,"1-30",IF(G212&lt;=60,"31-60",IF(G212&lt;=90,"61-90","90+")))))</f>
        <v/>
      </c>
    </row>
    <row r="213">
      <c r="A213" s="8" t="n"/>
      <c r="B213" s="9" t="n"/>
      <c r="C213" s="9" t="n"/>
      <c r="D213" s="9" t="n"/>
      <c r="E213" s="10" t="n"/>
      <c r="F213" s="8" t="n"/>
      <c r="G213" s="9">
        <f>IF(I213="Settled","",MAX(0,TODAY()-F213))</f>
        <v/>
      </c>
      <c r="H213" s="9">
        <f>IF(E213="","",TEXT(E213,"0.00")&amp;"|"&amp;IF(B213="Invoice","AR","AP"))</f>
        <v/>
      </c>
      <c r="I213" s="9">
        <f>IF(H213="","",IF(COUNTIF(Bank!$F:$F,H213)&gt;0,"Settled","Open"))</f>
        <v/>
      </c>
      <c r="J213" s="9">
        <f>IF(I213&lt;&gt;"Open","",IF(G213&lt;=0,"Current",IF(G213&lt;=30,"1-30",IF(G213&lt;=60,"31-60",IF(G213&lt;=90,"61-90","90+")))))</f>
        <v/>
      </c>
    </row>
    <row r="214">
      <c r="A214" s="8" t="n"/>
      <c r="B214" s="9" t="n"/>
      <c r="C214" s="9" t="n"/>
      <c r="D214" s="9" t="n"/>
      <c r="E214" s="10" t="n"/>
      <c r="F214" s="8" t="n"/>
      <c r="G214" s="9">
        <f>IF(I214="Settled","",MAX(0,TODAY()-F214))</f>
        <v/>
      </c>
      <c r="H214" s="9">
        <f>IF(E214="","",TEXT(E214,"0.00")&amp;"|"&amp;IF(B214="Invoice","AR","AP"))</f>
        <v/>
      </c>
      <c r="I214" s="9">
        <f>IF(H214="","",IF(COUNTIF(Bank!$F:$F,H214)&gt;0,"Settled","Open"))</f>
        <v/>
      </c>
      <c r="J214" s="9">
        <f>IF(I214&lt;&gt;"Open","",IF(G214&lt;=0,"Current",IF(G214&lt;=30,"1-30",IF(G214&lt;=60,"31-60",IF(G214&lt;=90,"61-90","90+")))))</f>
        <v/>
      </c>
    </row>
    <row r="215">
      <c r="A215" s="8" t="n"/>
      <c r="B215" s="9" t="n"/>
      <c r="C215" s="9" t="n"/>
      <c r="D215" s="9" t="n"/>
      <c r="E215" s="10" t="n"/>
      <c r="F215" s="8" t="n"/>
      <c r="G215" s="9">
        <f>IF(I215="Settled","",MAX(0,TODAY()-F215))</f>
        <v/>
      </c>
      <c r="H215" s="9">
        <f>IF(E215="","",TEXT(E215,"0.00")&amp;"|"&amp;IF(B215="Invoice","AR","AP"))</f>
        <v/>
      </c>
      <c r="I215" s="9">
        <f>IF(H215="","",IF(COUNTIF(Bank!$F:$F,H215)&gt;0,"Settled","Open"))</f>
        <v/>
      </c>
      <c r="J215" s="9">
        <f>IF(I215&lt;&gt;"Open","",IF(G215&lt;=0,"Current",IF(G215&lt;=30,"1-30",IF(G215&lt;=60,"31-60",IF(G215&lt;=90,"61-90","90+")))))</f>
        <v/>
      </c>
    </row>
    <row r="216">
      <c r="A216" s="8" t="n"/>
      <c r="B216" s="9" t="n"/>
      <c r="C216" s="9" t="n"/>
      <c r="D216" s="9" t="n"/>
      <c r="E216" s="10" t="n"/>
      <c r="F216" s="8" t="n"/>
      <c r="G216" s="9">
        <f>IF(I216="Settled","",MAX(0,TODAY()-F216))</f>
        <v/>
      </c>
      <c r="H216" s="9">
        <f>IF(E216="","",TEXT(E216,"0.00")&amp;"|"&amp;IF(B216="Invoice","AR","AP"))</f>
        <v/>
      </c>
      <c r="I216" s="9">
        <f>IF(H216="","",IF(COUNTIF(Bank!$F:$F,H216)&gt;0,"Settled","Open"))</f>
        <v/>
      </c>
      <c r="J216" s="9">
        <f>IF(I216&lt;&gt;"Open","",IF(G216&lt;=0,"Current",IF(G216&lt;=30,"1-30",IF(G216&lt;=60,"31-60",IF(G216&lt;=90,"61-90","90+")))))</f>
        <v/>
      </c>
    </row>
    <row r="217">
      <c r="A217" s="8" t="n"/>
      <c r="B217" s="9" t="n"/>
      <c r="C217" s="9" t="n"/>
      <c r="D217" s="9" t="n"/>
      <c r="E217" s="10" t="n"/>
      <c r="F217" s="8" t="n"/>
      <c r="G217" s="9">
        <f>IF(I217="Settled","",MAX(0,TODAY()-F217))</f>
        <v/>
      </c>
      <c r="H217" s="9">
        <f>IF(E217="","",TEXT(E217,"0.00")&amp;"|"&amp;IF(B217="Invoice","AR","AP"))</f>
        <v/>
      </c>
      <c r="I217" s="9">
        <f>IF(H217="","",IF(COUNTIF(Bank!$F:$F,H217)&gt;0,"Settled","Open"))</f>
        <v/>
      </c>
      <c r="J217" s="9">
        <f>IF(I217&lt;&gt;"Open","",IF(G217&lt;=0,"Current",IF(G217&lt;=30,"1-30",IF(G217&lt;=60,"31-60",IF(G217&lt;=90,"61-90","90+")))))</f>
        <v/>
      </c>
    </row>
    <row r="218">
      <c r="A218" s="8" t="n"/>
      <c r="B218" s="9" t="n"/>
      <c r="C218" s="9" t="n"/>
      <c r="D218" s="9" t="n"/>
      <c r="E218" s="10" t="n"/>
      <c r="F218" s="8" t="n"/>
      <c r="G218" s="9">
        <f>IF(I218="Settled","",MAX(0,TODAY()-F218))</f>
        <v/>
      </c>
      <c r="H218" s="9">
        <f>IF(E218="","",TEXT(E218,"0.00")&amp;"|"&amp;IF(B218="Invoice","AR","AP"))</f>
        <v/>
      </c>
      <c r="I218" s="9">
        <f>IF(H218="","",IF(COUNTIF(Bank!$F:$F,H218)&gt;0,"Settled","Open"))</f>
        <v/>
      </c>
      <c r="J218" s="9">
        <f>IF(I218&lt;&gt;"Open","",IF(G218&lt;=0,"Current",IF(G218&lt;=30,"1-30",IF(G218&lt;=60,"31-60",IF(G218&lt;=90,"61-90","90+")))))</f>
        <v/>
      </c>
    </row>
    <row r="219">
      <c r="A219" s="8" t="n"/>
      <c r="B219" s="9" t="n"/>
      <c r="C219" s="9" t="n"/>
      <c r="D219" s="9" t="n"/>
      <c r="E219" s="10" t="n"/>
      <c r="F219" s="8" t="n"/>
      <c r="G219" s="9">
        <f>IF(I219="Settled","",MAX(0,TODAY()-F219))</f>
        <v/>
      </c>
      <c r="H219" s="9">
        <f>IF(E219="","",TEXT(E219,"0.00")&amp;"|"&amp;IF(B219="Invoice","AR","AP"))</f>
        <v/>
      </c>
      <c r="I219" s="9">
        <f>IF(H219="","",IF(COUNTIF(Bank!$F:$F,H219)&gt;0,"Settled","Open"))</f>
        <v/>
      </c>
      <c r="J219" s="9">
        <f>IF(I219&lt;&gt;"Open","",IF(G219&lt;=0,"Current",IF(G219&lt;=30,"1-30",IF(G219&lt;=60,"31-60",IF(G219&lt;=90,"61-90","90+")))))</f>
        <v/>
      </c>
    </row>
    <row r="220">
      <c r="A220" s="8" t="n"/>
      <c r="B220" s="9" t="n"/>
      <c r="C220" s="9" t="n"/>
      <c r="D220" s="9" t="n"/>
      <c r="E220" s="10" t="n"/>
      <c r="F220" s="8" t="n"/>
      <c r="G220" s="9">
        <f>IF(I220="Settled","",MAX(0,TODAY()-F220))</f>
        <v/>
      </c>
      <c r="H220" s="9">
        <f>IF(E220="","",TEXT(E220,"0.00")&amp;"|"&amp;IF(B220="Invoice","AR","AP"))</f>
        <v/>
      </c>
      <c r="I220" s="9">
        <f>IF(H220="","",IF(COUNTIF(Bank!$F:$F,H220)&gt;0,"Settled","Open"))</f>
        <v/>
      </c>
      <c r="J220" s="9">
        <f>IF(I220&lt;&gt;"Open","",IF(G220&lt;=0,"Current",IF(G220&lt;=30,"1-30",IF(G220&lt;=60,"31-60",IF(G220&lt;=90,"61-90","90+")))))</f>
        <v/>
      </c>
    </row>
    <row r="221">
      <c r="A221" s="8" t="n"/>
      <c r="B221" s="9" t="n"/>
      <c r="C221" s="9" t="n"/>
      <c r="D221" s="9" t="n"/>
      <c r="E221" s="10" t="n"/>
      <c r="F221" s="8" t="n"/>
      <c r="G221" s="9">
        <f>IF(I221="Settled","",MAX(0,TODAY()-F221))</f>
        <v/>
      </c>
      <c r="H221" s="9">
        <f>IF(E221="","",TEXT(E221,"0.00")&amp;"|"&amp;IF(B221="Invoice","AR","AP"))</f>
        <v/>
      </c>
      <c r="I221" s="9">
        <f>IF(H221="","",IF(COUNTIF(Bank!$F:$F,H221)&gt;0,"Settled","Open"))</f>
        <v/>
      </c>
      <c r="J221" s="9">
        <f>IF(I221&lt;&gt;"Open","",IF(G221&lt;=0,"Current",IF(G221&lt;=30,"1-30",IF(G221&lt;=60,"31-60",IF(G221&lt;=90,"61-90","90+")))))</f>
        <v/>
      </c>
    </row>
    <row r="222">
      <c r="A222" s="8" t="n"/>
      <c r="B222" s="9" t="n"/>
      <c r="C222" s="9" t="n"/>
      <c r="D222" s="9" t="n"/>
      <c r="E222" s="10" t="n"/>
      <c r="F222" s="8" t="n"/>
      <c r="G222" s="9">
        <f>IF(I222="Settled","",MAX(0,TODAY()-F222))</f>
        <v/>
      </c>
      <c r="H222" s="9">
        <f>IF(E222="","",TEXT(E222,"0.00")&amp;"|"&amp;IF(B222="Invoice","AR","AP"))</f>
        <v/>
      </c>
      <c r="I222" s="9">
        <f>IF(H222="","",IF(COUNTIF(Bank!$F:$F,H222)&gt;0,"Settled","Open"))</f>
        <v/>
      </c>
      <c r="J222" s="9">
        <f>IF(I222&lt;&gt;"Open","",IF(G222&lt;=0,"Current",IF(G222&lt;=30,"1-30",IF(G222&lt;=60,"31-60",IF(G222&lt;=90,"61-90","90+")))))</f>
        <v/>
      </c>
    </row>
    <row r="223">
      <c r="A223" s="8" t="n"/>
      <c r="B223" s="9" t="n"/>
      <c r="C223" s="9" t="n"/>
      <c r="D223" s="9" t="n"/>
      <c r="E223" s="10" t="n"/>
      <c r="F223" s="8" t="n"/>
      <c r="G223" s="9">
        <f>IF(I223="Settled","",MAX(0,TODAY()-F223))</f>
        <v/>
      </c>
      <c r="H223" s="9">
        <f>IF(E223="","",TEXT(E223,"0.00")&amp;"|"&amp;IF(B223="Invoice","AR","AP"))</f>
        <v/>
      </c>
      <c r="I223" s="9">
        <f>IF(H223="","",IF(COUNTIF(Bank!$F:$F,H223)&gt;0,"Settled","Open"))</f>
        <v/>
      </c>
      <c r="J223" s="9">
        <f>IF(I223&lt;&gt;"Open","",IF(G223&lt;=0,"Current",IF(G223&lt;=30,"1-30",IF(G223&lt;=60,"31-60",IF(G223&lt;=90,"61-90","90+")))))</f>
        <v/>
      </c>
    </row>
    <row r="224">
      <c r="A224" s="8" t="n"/>
      <c r="B224" s="9" t="n"/>
      <c r="C224" s="9" t="n"/>
      <c r="D224" s="9" t="n"/>
      <c r="E224" s="10" t="n"/>
      <c r="F224" s="8" t="n"/>
      <c r="G224" s="9">
        <f>IF(I224="Settled","",MAX(0,TODAY()-F224))</f>
        <v/>
      </c>
      <c r="H224" s="9">
        <f>IF(E224="","",TEXT(E224,"0.00")&amp;"|"&amp;IF(B224="Invoice","AR","AP"))</f>
        <v/>
      </c>
      <c r="I224" s="9">
        <f>IF(H224="","",IF(COUNTIF(Bank!$F:$F,H224)&gt;0,"Settled","Open"))</f>
        <v/>
      </c>
      <c r="J224" s="9">
        <f>IF(I224&lt;&gt;"Open","",IF(G224&lt;=0,"Current",IF(G224&lt;=30,"1-30",IF(G224&lt;=60,"31-60",IF(G224&lt;=90,"61-90","90+")))))</f>
        <v/>
      </c>
    </row>
    <row r="225">
      <c r="A225" s="8" t="n"/>
      <c r="B225" s="9" t="n"/>
      <c r="C225" s="9" t="n"/>
      <c r="D225" s="9" t="n"/>
      <c r="E225" s="10" t="n"/>
      <c r="F225" s="8" t="n"/>
      <c r="G225" s="9">
        <f>IF(I225="Settled","",MAX(0,TODAY()-F225))</f>
        <v/>
      </c>
      <c r="H225" s="9">
        <f>IF(E225="","",TEXT(E225,"0.00")&amp;"|"&amp;IF(B225="Invoice","AR","AP"))</f>
        <v/>
      </c>
      <c r="I225" s="9">
        <f>IF(H225="","",IF(COUNTIF(Bank!$F:$F,H225)&gt;0,"Settled","Open"))</f>
        <v/>
      </c>
      <c r="J225" s="9">
        <f>IF(I225&lt;&gt;"Open","",IF(G225&lt;=0,"Current",IF(G225&lt;=30,"1-30",IF(G225&lt;=60,"31-60",IF(G225&lt;=90,"61-90","90+")))))</f>
        <v/>
      </c>
    </row>
    <row r="226">
      <c r="A226" s="8" t="n"/>
      <c r="B226" s="9" t="n"/>
      <c r="C226" s="9" t="n"/>
      <c r="D226" s="9" t="n"/>
      <c r="E226" s="10" t="n"/>
      <c r="F226" s="8" t="n"/>
      <c r="G226" s="9">
        <f>IF(I226="Settled","",MAX(0,TODAY()-F226))</f>
        <v/>
      </c>
      <c r="H226" s="9">
        <f>IF(E226="","",TEXT(E226,"0.00")&amp;"|"&amp;IF(B226="Invoice","AR","AP"))</f>
        <v/>
      </c>
      <c r="I226" s="9">
        <f>IF(H226="","",IF(COUNTIF(Bank!$F:$F,H226)&gt;0,"Settled","Open"))</f>
        <v/>
      </c>
      <c r="J226" s="9">
        <f>IF(I226&lt;&gt;"Open","",IF(G226&lt;=0,"Current",IF(G226&lt;=30,"1-30",IF(G226&lt;=60,"31-60",IF(G226&lt;=90,"61-90","90+")))))</f>
        <v/>
      </c>
    </row>
    <row r="227">
      <c r="A227" s="8" t="n"/>
      <c r="B227" s="9" t="n"/>
      <c r="C227" s="9" t="n"/>
      <c r="D227" s="9" t="n"/>
      <c r="E227" s="10" t="n"/>
      <c r="F227" s="8" t="n"/>
      <c r="G227" s="9">
        <f>IF(I227="Settled","",MAX(0,TODAY()-F227))</f>
        <v/>
      </c>
      <c r="H227" s="9">
        <f>IF(E227="","",TEXT(E227,"0.00")&amp;"|"&amp;IF(B227="Invoice","AR","AP"))</f>
        <v/>
      </c>
      <c r="I227" s="9">
        <f>IF(H227="","",IF(COUNTIF(Bank!$F:$F,H227)&gt;0,"Settled","Open"))</f>
        <v/>
      </c>
      <c r="J227" s="9">
        <f>IF(I227&lt;&gt;"Open","",IF(G227&lt;=0,"Current",IF(G227&lt;=30,"1-30",IF(G227&lt;=60,"31-60",IF(G227&lt;=90,"61-90","90+")))))</f>
        <v/>
      </c>
    </row>
    <row r="228">
      <c r="A228" s="8" t="n"/>
      <c r="B228" s="9" t="n"/>
      <c r="C228" s="9" t="n"/>
      <c r="D228" s="9" t="n"/>
      <c r="E228" s="10" t="n"/>
      <c r="F228" s="8" t="n"/>
      <c r="G228" s="9">
        <f>IF(I228="Settled","",MAX(0,TODAY()-F228))</f>
        <v/>
      </c>
      <c r="H228" s="9">
        <f>IF(E228="","",TEXT(E228,"0.00")&amp;"|"&amp;IF(B228="Invoice","AR","AP"))</f>
        <v/>
      </c>
      <c r="I228" s="9">
        <f>IF(H228="","",IF(COUNTIF(Bank!$F:$F,H228)&gt;0,"Settled","Open"))</f>
        <v/>
      </c>
      <c r="J228" s="9">
        <f>IF(I228&lt;&gt;"Open","",IF(G228&lt;=0,"Current",IF(G228&lt;=30,"1-30",IF(G228&lt;=60,"31-60",IF(G228&lt;=90,"61-90","90+")))))</f>
        <v/>
      </c>
    </row>
    <row r="229">
      <c r="A229" s="8" t="n"/>
      <c r="B229" s="9" t="n"/>
      <c r="C229" s="9" t="n"/>
      <c r="D229" s="9" t="n"/>
      <c r="E229" s="10" t="n"/>
      <c r="F229" s="8" t="n"/>
      <c r="G229" s="9">
        <f>IF(I229="Settled","",MAX(0,TODAY()-F229))</f>
        <v/>
      </c>
      <c r="H229" s="9">
        <f>IF(E229="","",TEXT(E229,"0.00")&amp;"|"&amp;IF(B229="Invoice","AR","AP"))</f>
        <v/>
      </c>
      <c r="I229" s="9">
        <f>IF(H229="","",IF(COUNTIF(Bank!$F:$F,H229)&gt;0,"Settled","Open"))</f>
        <v/>
      </c>
      <c r="J229" s="9">
        <f>IF(I229&lt;&gt;"Open","",IF(G229&lt;=0,"Current",IF(G229&lt;=30,"1-30",IF(G229&lt;=60,"31-60",IF(G229&lt;=90,"61-90","90+")))))</f>
        <v/>
      </c>
    </row>
    <row r="230">
      <c r="A230" s="8" t="n"/>
      <c r="B230" s="9" t="n"/>
      <c r="C230" s="9" t="n"/>
      <c r="D230" s="9" t="n"/>
      <c r="E230" s="10" t="n"/>
      <c r="F230" s="8" t="n"/>
      <c r="G230" s="9">
        <f>IF(I230="Settled","",MAX(0,TODAY()-F230))</f>
        <v/>
      </c>
      <c r="H230" s="9">
        <f>IF(E230="","",TEXT(E230,"0.00")&amp;"|"&amp;IF(B230="Invoice","AR","AP"))</f>
        <v/>
      </c>
      <c r="I230" s="9">
        <f>IF(H230="","",IF(COUNTIF(Bank!$F:$F,H230)&gt;0,"Settled","Open"))</f>
        <v/>
      </c>
      <c r="J230" s="9">
        <f>IF(I230&lt;&gt;"Open","",IF(G230&lt;=0,"Current",IF(G230&lt;=30,"1-30",IF(G230&lt;=60,"31-60",IF(G230&lt;=90,"61-90","90+")))))</f>
        <v/>
      </c>
    </row>
    <row r="231">
      <c r="A231" s="8" t="n"/>
      <c r="B231" s="9" t="n"/>
      <c r="C231" s="9" t="n"/>
      <c r="D231" s="9" t="n"/>
      <c r="E231" s="10" t="n"/>
      <c r="F231" s="8" t="n"/>
      <c r="G231" s="9">
        <f>IF(I231="Settled","",MAX(0,TODAY()-F231))</f>
        <v/>
      </c>
      <c r="H231" s="9">
        <f>IF(E231="","",TEXT(E231,"0.00")&amp;"|"&amp;IF(B231="Invoice","AR","AP"))</f>
        <v/>
      </c>
      <c r="I231" s="9">
        <f>IF(H231="","",IF(COUNTIF(Bank!$F:$F,H231)&gt;0,"Settled","Open"))</f>
        <v/>
      </c>
      <c r="J231" s="9">
        <f>IF(I231&lt;&gt;"Open","",IF(G231&lt;=0,"Current",IF(G231&lt;=30,"1-30",IF(G231&lt;=60,"31-60",IF(G231&lt;=90,"61-90","90+")))))</f>
        <v/>
      </c>
    </row>
    <row r="232">
      <c r="A232" s="8" t="n"/>
      <c r="B232" s="9" t="n"/>
      <c r="C232" s="9" t="n"/>
      <c r="D232" s="9" t="n"/>
      <c r="E232" s="10" t="n"/>
      <c r="F232" s="8" t="n"/>
      <c r="G232" s="9">
        <f>IF(I232="Settled","",MAX(0,TODAY()-F232))</f>
        <v/>
      </c>
      <c r="H232" s="9">
        <f>IF(E232="","",TEXT(E232,"0.00")&amp;"|"&amp;IF(B232="Invoice","AR","AP"))</f>
        <v/>
      </c>
      <c r="I232" s="9">
        <f>IF(H232="","",IF(COUNTIF(Bank!$F:$F,H232)&gt;0,"Settled","Open"))</f>
        <v/>
      </c>
      <c r="J232" s="9">
        <f>IF(I232&lt;&gt;"Open","",IF(G232&lt;=0,"Current",IF(G232&lt;=30,"1-30",IF(G232&lt;=60,"31-60",IF(G232&lt;=90,"61-90","90+")))))</f>
        <v/>
      </c>
    </row>
    <row r="233">
      <c r="A233" s="8" t="n"/>
      <c r="B233" s="9" t="n"/>
      <c r="C233" s="9" t="n"/>
      <c r="D233" s="9" t="n"/>
      <c r="E233" s="10" t="n"/>
      <c r="F233" s="8" t="n"/>
      <c r="G233" s="9">
        <f>IF(I233="Settled","",MAX(0,TODAY()-F233))</f>
        <v/>
      </c>
      <c r="H233" s="9">
        <f>IF(E233="","",TEXT(E233,"0.00")&amp;"|"&amp;IF(B233="Invoice","AR","AP"))</f>
        <v/>
      </c>
      <c r="I233" s="9">
        <f>IF(H233="","",IF(COUNTIF(Bank!$F:$F,H233)&gt;0,"Settled","Open"))</f>
        <v/>
      </c>
      <c r="J233" s="9">
        <f>IF(I233&lt;&gt;"Open","",IF(G233&lt;=0,"Current",IF(G233&lt;=30,"1-30",IF(G233&lt;=60,"31-60",IF(G233&lt;=90,"61-90","90+")))))</f>
        <v/>
      </c>
    </row>
    <row r="234">
      <c r="A234" s="8" t="n"/>
      <c r="B234" s="9" t="n"/>
      <c r="C234" s="9" t="n"/>
      <c r="D234" s="9" t="n"/>
      <c r="E234" s="10" t="n"/>
      <c r="F234" s="8" t="n"/>
      <c r="G234" s="9">
        <f>IF(I234="Settled","",MAX(0,TODAY()-F234))</f>
        <v/>
      </c>
      <c r="H234" s="9">
        <f>IF(E234="","",TEXT(E234,"0.00")&amp;"|"&amp;IF(B234="Invoice","AR","AP"))</f>
        <v/>
      </c>
      <c r="I234" s="9">
        <f>IF(H234="","",IF(COUNTIF(Bank!$F:$F,H234)&gt;0,"Settled","Open"))</f>
        <v/>
      </c>
      <c r="J234" s="9">
        <f>IF(I234&lt;&gt;"Open","",IF(G234&lt;=0,"Current",IF(G234&lt;=30,"1-30",IF(G234&lt;=60,"31-60",IF(G234&lt;=90,"61-90","90+")))))</f>
        <v/>
      </c>
    </row>
    <row r="235">
      <c r="A235" s="8" t="n"/>
      <c r="B235" s="9" t="n"/>
      <c r="C235" s="9" t="n"/>
      <c r="D235" s="9" t="n"/>
      <c r="E235" s="10" t="n"/>
      <c r="F235" s="8" t="n"/>
      <c r="G235" s="9">
        <f>IF(I235="Settled","",MAX(0,TODAY()-F235))</f>
        <v/>
      </c>
      <c r="H235" s="9">
        <f>IF(E235="","",TEXT(E235,"0.00")&amp;"|"&amp;IF(B235="Invoice","AR","AP"))</f>
        <v/>
      </c>
      <c r="I235" s="9">
        <f>IF(H235="","",IF(COUNTIF(Bank!$F:$F,H235)&gt;0,"Settled","Open"))</f>
        <v/>
      </c>
      <c r="J235" s="9">
        <f>IF(I235&lt;&gt;"Open","",IF(G235&lt;=0,"Current",IF(G235&lt;=30,"1-30",IF(G235&lt;=60,"31-60",IF(G235&lt;=90,"61-90","90+")))))</f>
        <v/>
      </c>
    </row>
    <row r="236">
      <c r="A236" s="8" t="n"/>
      <c r="B236" s="9" t="n"/>
      <c r="C236" s="9" t="n"/>
      <c r="D236" s="9" t="n"/>
      <c r="E236" s="10" t="n"/>
      <c r="F236" s="8" t="n"/>
      <c r="G236" s="9">
        <f>IF(I236="Settled","",MAX(0,TODAY()-F236))</f>
        <v/>
      </c>
      <c r="H236" s="9">
        <f>IF(E236="","",TEXT(E236,"0.00")&amp;"|"&amp;IF(B236="Invoice","AR","AP"))</f>
        <v/>
      </c>
      <c r="I236" s="9">
        <f>IF(H236="","",IF(COUNTIF(Bank!$F:$F,H236)&gt;0,"Settled","Open"))</f>
        <v/>
      </c>
      <c r="J236" s="9">
        <f>IF(I236&lt;&gt;"Open","",IF(G236&lt;=0,"Current",IF(G236&lt;=30,"1-30",IF(G236&lt;=60,"31-60",IF(G236&lt;=90,"61-90","90+")))))</f>
        <v/>
      </c>
    </row>
    <row r="237">
      <c r="A237" s="8" t="n"/>
      <c r="B237" s="9" t="n"/>
      <c r="C237" s="9" t="n"/>
      <c r="D237" s="9" t="n"/>
      <c r="E237" s="10" t="n"/>
      <c r="F237" s="8" t="n"/>
      <c r="G237" s="9">
        <f>IF(I237="Settled","",MAX(0,TODAY()-F237))</f>
        <v/>
      </c>
      <c r="H237" s="9">
        <f>IF(E237="","",TEXT(E237,"0.00")&amp;"|"&amp;IF(B237="Invoice","AR","AP"))</f>
        <v/>
      </c>
      <c r="I237" s="9">
        <f>IF(H237="","",IF(COUNTIF(Bank!$F:$F,H237)&gt;0,"Settled","Open"))</f>
        <v/>
      </c>
      <c r="J237" s="9">
        <f>IF(I237&lt;&gt;"Open","",IF(G237&lt;=0,"Current",IF(G237&lt;=30,"1-30",IF(G237&lt;=60,"31-60",IF(G237&lt;=90,"61-90","90+")))))</f>
        <v/>
      </c>
    </row>
    <row r="238">
      <c r="A238" s="8" t="n"/>
      <c r="B238" s="9" t="n"/>
      <c r="C238" s="9" t="n"/>
      <c r="D238" s="9" t="n"/>
      <c r="E238" s="10" t="n"/>
      <c r="F238" s="8" t="n"/>
      <c r="G238" s="9">
        <f>IF(I238="Settled","",MAX(0,TODAY()-F238))</f>
        <v/>
      </c>
      <c r="H238" s="9">
        <f>IF(E238="","",TEXT(E238,"0.00")&amp;"|"&amp;IF(B238="Invoice","AR","AP"))</f>
        <v/>
      </c>
      <c r="I238" s="9">
        <f>IF(H238="","",IF(COUNTIF(Bank!$F:$F,H238)&gt;0,"Settled","Open"))</f>
        <v/>
      </c>
      <c r="J238" s="9">
        <f>IF(I238&lt;&gt;"Open","",IF(G238&lt;=0,"Current",IF(G238&lt;=30,"1-30",IF(G238&lt;=60,"31-60",IF(G238&lt;=90,"61-90","90+")))))</f>
        <v/>
      </c>
    </row>
    <row r="239">
      <c r="A239" s="8" t="n"/>
      <c r="B239" s="9" t="n"/>
      <c r="C239" s="9" t="n"/>
      <c r="D239" s="9" t="n"/>
      <c r="E239" s="10" t="n"/>
      <c r="F239" s="8" t="n"/>
      <c r="G239" s="9">
        <f>IF(I239="Settled","",MAX(0,TODAY()-F239))</f>
        <v/>
      </c>
      <c r="H239" s="9">
        <f>IF(E239="","",TEXT(E239,"0.00")&amp;"|"&amp;IF(B239="Invoice","AR","AP"))</f>
        <v/>
      </c>
      <c r="I239" s="9">
        <f>IF(H239="","",IF(COUNTIF(Bank!$F:$F,H239)&gt;0,"Settled","Open"))</f>
        <v/>
      </c>
      <c r="J239" s="9">
        <f>IF(I239&lt;&gt;"Open","",IF(G239&lt;=0,"Current",IF(G239&lt;=30,"1-30",IF(G239&lt;=60,"31-60",IF(G239&lt;=90,"61-90","90+")))))</f>
        <v/>
      </c>
    </row>
    <row r="240">
      <c r="A240" s="8" t="n"/>
      <c r="B240" s="9" t="n"/>
      <c r="C240" s="9" t="n"/>
      <c r="D240" s="9" t="n"/>
      <c r="E240" s="10" t="n"/>
      <c r="F240" s="8" t="n"/>
      <c r="G240" s="9">
        <f>IF(I240="Settled","",MAX(0,TODAY()-F240))</f>
        <v/>
      </c>
      <c r="H240" s="9">
        <f>IF(E240="","",TEXT(E240,"0.00")&amp;"|"&amp;IF(B240="Invoice","AR","AP"))</f>
        <v/>
      </c>
      <c r="I240" s="9">
        <f>IF(H240="","",IF(COUNTIF(Bank!$F:$F,H240)&gt;0,"Settled","Open"))</f>
        <v/>
      </c>
      <c r="J240" s="9">
        <f>IF(I240&lt;&gt;"Open","",IF(G240&lt;=0,"Current",IF(G240&lt;=30,"1-30",IF(G240&lt;=60,"31-60",IF(G240&lt;=90,"61-90","90+")))))</f>
        <v/>
      </c>
    </row>
    <row r="241">
      <c r="A241" s="8" t="n"/>
      <c r="B241" s="9" t="n"/>
      <c r="C241" s="9" t="n"/>
      <c r="D241" s="9" t="n"/>
      <c r="E241" s="10" t="n"/>
      <c r="F241" s="8" t="n"/>
      <c r="G241" s="9">
        <f>IF(I241="Settled","",MAX(0,TODAY()-F241))</f>
        <v/>
      </c>
      <c r="H241" s="9">
        <f>IF(E241="","",TEXT(E241,"0.00")&amp;"|"&amp;IF(B241="Invoice","AR","AP"))</f>
        <v/>
      </c>
      <c r="I241" s="9">
        <f>IF(H241="","",IF(COUNTIF(Bank!$F:$F,H241)&gt;0,"Settled","Open"))</f>
        <v/>
      </c>
      <c r="J241" s="9">
        <f>IF(I241&lt;&gt;"Open","",IF(G241&lt;=0,"Current",IF(G241&lt;=30,"1-30",IF(G241&lt;=60,"31-60",IF(G241&lt;=90,"61-90","90+")))))</f>
        <v/>
      </c>
    </row>
    <row r="242">
      <c r="A242" s="8" t="n"/>
      <c r="B242" s="9" t="n"/>
      <c r="C242" s="9" t="n"/>
      <c r="D242" s="9" t="n"/>
      <c r="E242" s="10" t="n"/>
      <c r="F242" s="8" t="n"/>
      <c r="G242" s="9">
        <f>IF(I242="Settled","",MAX(0,TODAY()-F242))</f>
        <v/>
      </c>
      <c r="H242" s="9">
        <f>IF(E242="","",TEXT(E242,"0.00")&amp;"|"&amp;IF(B242="Invoice","AR","AP"))</f>
        <v/>
      </c>
      <c r="I242" s="9">
        <f>IF(H242="","",IF(COUNTIF(Bank!$F:$F,H242)&gt;0,"Settled","Open"))</f>
        <v/>
      </c>
      <c r="J242" s="9">
        <f>IF(I242&lt;&gt;"Open","",IF(G242&lt;=0,"Current",IF(G242&lt;=30,"1-30",IF(G242&lt;=60,"31-60",IF(G242&lt;=90,"61-90","90+")))))</f>
        <v/>
      </c>
    </row>
    <row r="243">
      <c r="A243" s="8" t="n"/>
      <c r="B243" s="9" t="n"/>
      <c r="C243" s="9" t="n"/>
      <c r="D243" s="9" t="n"/>
      <c r="E243" s="10" t="n"/>
      <c r="F243" s="8" t="n"/>
      <c r="G243" s="9">
        <f>IF(I243="Settled","",MAX(0,TODAY()-F243))</f>
        <v/>
      </c>
      <c r="H243" s="9">
        <f>IF(E243="","",TEXT(E243,"0.00")&amp;"|"&amp;IF(B243="Invoice","AR","AP"))</f>
        <v/>
      </c>
      <c r="I243" s="9">
        <f>IF(H243="","",IF(COUNTIF(Bank!$F:$F,H243)&gt;0,"Settled","Open"))</f>
        <v/>
      </c>
      <c r="J243" s="9">
        <f>IF(I243&lt;&gt;"Open","",IF(G243&lt;=0,"Current",IF(G243&lt;=30,"1-30",IF(G243&lt;=60,"31-60",IF(G243&lt;=90,"61-90","90+")))))</f>
        <v/>
      </c>
    </row>
    <row r="244">
      <c r="A244" s="8" t="n"/>
      <c r="B244" s="9" t="n"/>
      <c r="C244" s="9" t="n"/>
      <c r="D244" s="9" t="n"/>
      <c r="E244" s="10" t="n"/>
      <c r="F244" s="8" t="n"/>
      <c r="G244" s="9">
        <f>IF(I244="Settled","",MAX(0,TODAY()-F244))</f>
        <v/>
      </c>
      <c r="H244" s="9">
        <f>IF(E244="","",TEXT(E244,"0.00")&amp;"|"&amp;IF(B244="Invoice","AR","AP"))</f>
        <v/>
      </c>
      <c r="I244" s="9">
        <f>IF(H244="","",IF(COUNTIF(Bank!$F:$F,H244)&gt;0,"Settled","Open"))</f>
        <v/>
      </c>
      <c r="J244" s="9">
        <f>IF(I244&lt;&gt;"Open","",IF(G244&lt;=0,"Current",IF(G244&lt;=30,"1-30",IF(G244&lt;=60,"31-60",IF(G244&lt;=90,"61-90","90+")))))</f>
        <v/>
      </c>
    </row>
    <row r="245">
      <c r="A245" s="8" t="n"/>
      <c r="B245" s="9" t="n"/>
      <c r="C245" s="9" t="n"/>
      <c r="D245" s="9" t="n"/>
      <c r="E245" s="10" t="n"/>
      <c r="F245" s="8" t="n"/>
      <c r="G245" s="9">
        <f>IF(I245="Settled","",MAX(0,TODAY()-F245))</f>
        <v/>
      </c>
      <c r="H245" s="9">
        <f>IF(E245="","",TEXT(E245,"0.00")&amp;"|"&amp;IF(B245="Invoice","AR","AP"))</f>
        <v/>
      </c>
      <c r="I245" s="9">
        <f>IF(H245="","",IF(COUNTIF(Bank!$F:$F,H245)&gt;0,"Settled","Open"))</f>
        <v/>
      </c>
      <c r="J245" s="9">
        <f>IF(I245&lt;&gt;"Open","",IF(G245&lt;=0,"Current",IF(G245&lt;=30,"1-30",IF(G245&lt;=60,"31-60",IF(G245&lt;=90,"61-90","90+")))))</f>
        <v/>
      </c>
    </row>
    <row r="246">
      <c r="A246" s="8" t="n"/>
      <c r="B246" s="9" t="n"/>
      <c r="C246" s="9" t="n"/>
      <c r="D246" s="9" t="n"/>
      <c r="E246" s="10" t="n"/>
      <c r="F246" s="8" t="n"/>
      <c r="G246" s="9">
        <f>IF(I246="Settled","",MAX(0,TODAY()-F246))</f>
        <v/>
      </c>
      <c r="H246" s="9">
        <f>IF(E246="","",TEXT(E246,"0.00")&amp;"|"&amp;IF(B246="Invoice","AR","AP"))</f>
        <v/>
      </c>
      <c r="I246" s="9">
        <f>IF(H246="","",IF(COUNTIF(Bank!$F:$F,H246)&gt;0,"Settled","Open"))</f>
        <v/>
      </c>
      <c r="J246" s="9">
        <f>IF(I246&lt;&gt;"Open","",IF(G246&lt;=0,"Current",IF(G246&lt;=30,"1-30",IF(G246&lt;=60,"31-60",IF(G246&lt;=90,"61-90","90+")))))</f>
        <v/>
      </c>
    </row>
    <row r="247">
      <c r="A247" s="8" t="n"/>
      <c r="B247" s="9" t="n"/>
      <c r="C247" s="9" t="n"/>
      <c r="D247" s="9" t="n"/>
      <c r="E247" s="10" t="n"/>
      <c r="F247" s="8" t="n"/>
      <c r="G247" s="9">
        <f>IF(I247="Settled","",MAX(0,TODAY()-F247))</f>
        <v/>
      </c>
      <c r="H247" s="9">
        <f>IF(E247="","",TEXT(E247,"0.00")&amp;"|"&amp;IF(B247="Invoice","AR","AP"))</f>
        <v/>
      </c>
      <c r="I247" s="9">
        <f>IF(H247="","",IF(COUNTIF(Bank!$F:$F,H247)&gt;0,"Settled","Open"))</f>
        <v/>
      </c>
      <c r="J247" s="9">
        <f>IF(I247&lt;&gt;"Open","",IF(G247&lt;=0,"Current",IF(G247&lt;=30,"1-30",IF(G247&lt;=60,"31-60",IF(G247&lt;=90,"61-90","90+")))))</f>
        <v/>
      </c>
    </row>
    <row r="248">
      <c r="A248" s="8" t="n"/>
      <c r="B248" s="9" t="n"/>
      <c r="C248" s="9" t="n"/>
      <c r="D248" s="9" t="n"/>
      <c r="E248" s="10" t="n"/>
      <c r="F248" s="8" t="n"/>
      <c r="G248" s="9">
        <f>IF(I248="Settled","",MAX(0,TODAY()-F248))</f>
        <v/>
      </c>
      <c r="H248" s="9">
        <f>IF(E248="","",TEXT(E248,"0.00")&amp;"|"&amp;IF(B248="Invoice","AR","AP"))</f>
        <v/>
      </c>
      <c r="I248" s="9">
        <f>IF(H248="","",IF(COUNTIF(Bank!$F:$F,H248)&gt;0,"Settled","Open"))</f>
        <v/>
      </c>
      <c r="J248" s="9">
        <f>IF(I248&lt;&gt;"Open","",IF(G248&lt;=0,"Current",IF(G248&lt;=30,"1-30",IF(G248&lt;=60,"31-60",IF(G248&lt;=90,"61-90","90+")))))</f>
        <v/>
      </c>
    </row>
    <row r="249">
      <c r="A249" s="8" t="n"/>
      <c r="B249" s="9" t="n"/>
      <c r="C249" s="9" t="n"/>
      <c r="D249" s="9" t="n"/>
      <c r="E249" s="10" t="n"/>
      <c r="F249" s="8" t="n"/>
      <c r="G249" s="9">
        <f>IF(I249="Settled","",MAX(0,TODAY()-F249))</f>
        <v/>
      </c>
      <c r="H249" s="9">
        <f>IF(E249="","",TEXT(E249,"0.00")&amp;"|"&amp;IF(B249="Invoice","AR","AP"))</f>
        <v/>
      </c>
      <c r="I249" s="9">
        <f>IF(H249="","",IF(COUNTIF(Bank!$F:$F,H249)&gt;0,"Settled","Open"))</f>
        <v/>
      </c>
      <c r="J249" s="9">
        <f>IF(I249&lt;&gt;"Open","",IF(G249&lt;=0,"Current",IF(G249&lt;=30,"1-30",IF(G249&lt;=60,"31-60",IF(G249&lt;=90,"61-90","90+")))))</f>
        <v/>
      </c>
    </row>
    <row r="250">
      <c r="A250" s="8" t="n"/>
      <c r="B250" s="9" t="n"/>
      <c r="C250" s="9" t="n"/>
      <c r="D250" s="9" t="n"/>
      <c r="E250" s="10" t="n"/>
      <c r="F250" s="8" t="n"/>
      <c r="G250" s="9">
        <f>IF(I250="Settled","",MAX(0,TODAY()-F250))</f>
        <v/>
      </c>
      <c r="H250" s="9">
        <f>IF(E250="","",TEXT(E250,"0.00")&amp;"|"&amp;IF(B250="Invoice","AR","AP"))</f>
        <v/>
      </c>
      <c r="I250" s="9">
        <f>IF(H250="","",IF(COUNTIF(Bank!$F:$F,H250)&gt;0,"Settled","Open"))</f>
        <v/>
      </c>
      <c r="J250" s="9">
        <f>IF(I250&lt;&gt;"Open","",IF(G250&lt;=0,"Current",IF(G250&lt;=30,"1-30",IF(G250&lt;=60,"31-60",IF(G250&lt;=90,"61-90","90+")))))</f>
        <v/>
      </c>
    </row>
    <row r="251">
      <c r="A251" s="8" t="n"/>
      <c r="B251" s="9" t="n"/>
      <c r="C251" s="9" t="n"/>
      <c r="D251" s="9" t="n"/>
      <c r="E251" s="10" t="n"/>
      <c r="F251" s="8" t="n"/>
      <c r="G251" s="9">
        <f>IF(I251="Settled","",MAX(0,TODAY()-F251))</f>
        <v/>
      </c>
      <c r="H251" s="9">
        <f>IF(E251="","",TEXT(E251,"0.00")&amp;"|"&amp;IF(B251="Invoice","AR","AP"))</f>
        <v/>
      </c>
      <c r="I251" s="9">
        <f>IF(H251="","",IF(COUNTIF(Bank!$F:$F,H251)&gt;0,"Settled","Open"))</f>
        <v/>
      </c>
      <c r="J251" s="9">
        <f>IF(I251&lt;&gt;"Open","",IF(G251&lt;=0,"Current",IF(G251&lt;=30,"1-30",IF(G251&lt;=60,"31-60",IF(G251&lt;=90,"61-90","90+")))))</f>
        <v/>
      </c>
    </row>
    <row r="252">
      <c r="A252" s="8" t="n"/>
      <c r="B252" s="9" t="n"/>
      <c r="C252" s="9" t="n"/>
      <c r="D252" s="9" t="n"/>
      <c r="E252" s="10" t="n"/>
      <c r="F252" s="8" t="n"/>
      <c r="G252" s="9">
        <f>IF(I252="Settled","",MAX(0,TODAY()-F252))</f>
        <v/>
      </c>
      <c r="H252" s="9">
        <f>IF(E252="","",TEXT(E252,"0.00")&amp;"|"&amp;IF(B252="Invoice","AR","AP"))</f>
        <v/>
      </c>
      <c r="I252" s="9">
        <f>IF(H252="","",IF(COUNTIF(Bank!$F:$F,H252)&gt;0,"Settled","Open"))</f>
        <v/>
      </c>
      <c r="J252" s="9">
        <f>IF(I252&lt;&gt;"Open","",IF(G252&lt;=0,"Current",IF(G252&lt;=30,"1-30",IF(G252&lt;=60,"31-60",IF(G252&lt;=90,"61-90","90+")))))</f>
        <v/>
      </c>
    </row>
    <row r="253">
      <c r="A253" s="8" t="n"/>
      <c r="B253" s="9" t="n"/>
      <c r="C253" s="9" t="n"/>
      <c r="D253" s="9" t="n"/>
      <c r="E253" s="10" t="n"/>
      <c r="F253" s="8" t="n"/>
      <c r="G253" s="9">
        <f>IF(I253="Settled","",MAX(0,TODAY()-F253))</f>
        <v/>
      </c>
      <c r="H253" s="9">
        <f>IF(E253="","",TEXT(E253,"0.00")&amp;"|"&amp;IF(B253="Invoice","AR","AP"))</f>
        <v/>
      </c>
      <c r="I253" s="9">
        <f>IF(H253="","",IF(COUNTIF(Bank!$F:$F,H253)&gt;0,"Settled","Open"))</f>
        <v/>
      </c>
      <c r="J253" s="9">
        <f>IF(I253&lt;&gt;"Open","",IF(G253&lt;=0,"Current",IF(G253&lt;=30,"1-30",IF(G253&lt;=60,"31-60",IF(G253&lt;=90,"61-90","90+")))))</f>
        <v/>
      </c>
    </row>
    <row r="254">
      <c r="A254" s="8" t="n"/>
      <c r="B254" s="9" t="n"/>
      <c r="C254" s="9" t="n"/>
      <c r="D254" s="9" t="n"/>
      <c r="E254" s="10" t="n"/>
      <c r="F254" s="8" t="n"/>
      <c r="G254" s="9">
        <f>IF(I254="Settled","",MAX(0,TODAY()-F254))</f>
        <v/>
      </c>
      <c r="H254" s="9">
        <f>IF(E254="","",TEXT(E254,"0.00")&amp;"|"&amp;IF(B254="Invoice","AR","AP"))</f>
        <v/>
      </c>
      <c r="I254" s="9">
        <f>IF(H254="","",IF(COUNTIF(Bank!$F:$F,H254)&gt;0,"Settled","Open"))</f>
        <v/>
      </c>
      <c r="J254" s="9">
        <f>IF(I254&lt;&gt;"Open","",IF(G254&lt;=0,"Current",IF(G254&lt;=30,"1-30",IF(G254&lt;=60,"31-60",IF(G254&lt;=90,"61-90","90+")))))</f>
        <v/>
      </c>
    </row>
    <row r="255">
      <c r="A255" s="8" t="n"/>
      <c r="B255" s="9" t="n"/>
      <c r="C255" s="9" t="n"/>
      <c r="D255" s="9" t="n"/>
      <c r="E255" s="10" t="n"/>
      <c r="F255" s="8" t="n"/>
      <c r="G255" s="9">
        <f>IF(I255="Settled","",MAX(0,TODAY()-F255))</f>
        <v/>
      </c>
      <c r="H255" s="9">
        <f>IF(E255="","",TEXT(E255,"0.00")&amp;"|"&amp;IF(B255="Invoice","AR","AP"))</f>
        <v/>
      </c>
      <c r="I255" s="9">
        <f>IF(H255="","",IF(COUNTIF(Bank!$F:$F,H255)&gt;0,"Settled","Open"))</f>
        <v/>
      </c>
      <c r="J255" s="9">
        <f>IF(I255&lt;&gt;"Open","",IF(G255&lt;=0,"Current",IF(G255&lt;=30,"1-30",IF(G255&lt;=60,"31-60",IF(G255&lt;=90,"61-90","90+")))))</f>
        <v/>
      </c>
    </row>
    <row r="256">
      <c r="A256" s="8" t="n"/>
      <c r="B256" s="9" t="n"/>
      <c r="C256" s="9" t="n"/>
      <c r="D256" s="9" t="n"/>
      <c r="E256" s="10" t="n"/>
      <c r="F256" s="8" t="n"/>
      <c r="G256" s="9">
        <f>IF(I256="Settled","",MAX(0,TODAY()-F256))</f>
        <v/>
      </c>
      <c r="H256" s="9">
        <f>IF(E256="","",TEXT(E256,"0.00")&amp;"|"&amp;IF(B256="Invoice","AR","AP"))</f>
        <v/>
      </c>
      <c r="I256" s="9">
        <f>IF(H256="","",IF(COUNTIF(Bank!$F:$F,H256)&gt;0,"Settled","Open"))</f>
        <v/>
      </c>
      <c r="J256" s="9">
        <f>IF(I256&lt;&gt;"Open","",IF(G256&lt;=0,"Current",IF(G256&lt;=30,"1-30",IF(G256&lt;=60,"31-60",IF(G256&lt;=90,"61-90","90+")))))</f>
        <v/>
      </c>
    </row>
    <row r="257">
      <c r="A257" s="8" t="n"/>
      <c r="B257" s="9" t="n"/>
      <c r="C257" s="9" t="n"/>
      <c r="D257" s="9" t="n"/>
      <c r="E257" s="10" t="n"/>
      <c r="F257" s="8" t="n"/>
      <c r="G257" s="9">
        <f>IF(I257="Settled","",MAX(0,TODAY()-F257))</f>
        <v/>
      </c>
      <c r="H257" s="9">
        <f>IF(E257="","",TEXT(E257,"0.00")&amp;"|"&amp;IF(B257="Invoice","AR","AP"))</f>
        <v/>
      </c>
      <c r="I257" s="9">
        <f>IF(H257="","",IF(COUNTIF(Bank!$F:$F,H257)&gt;0,"Settled","Open"))</f>
        <v/>
      </c>
      <c r="J257" s="9">
        <f>IF(I257&lt;&gt;"Open","",IF(G257&lt;=0,"Current",IF(G257&lt;=30,"1-30",IF(G257&lt;=60,"31-60",IF(G257&lt;=90,"61-90","90+")))))</f>
        <v/>
      </c>
    </row>
    <row r="258">
      <c r="A258" s="8" t="n"/>
      <c r="B258" s="9" t="n"/>
      <c r="C258" s="9" t="n"/>
      <c r="D258" s="9" t="n"/>
      <c r="E258" s="10" t="n"/>
      <c r="F258" s="8" t="n"/>
      <c r="G258" s="9">
        <f>IF(I258="Settled","",MAX(0,TODAY()-F258))</f>
        <v/>
      </c>
      <c r="H258" s="9">
        <f>IF(E258="","",TEXT(E258,"0.00")&amp;"|"&amp;IF(B258="Invoice","AR","AP"))</f>
        <v/>
      </c>
      <c r="I258" s="9">
        <f>IF(H258="","",IF(COUNTIF(Bank!$F:$F,H258)&gt;0,"Settled","Open"))</f>
        <v/>
      </c>
      <c r="J258" s="9">
        <f>IF(I258&lt;&gt;"Open","",IF(G258&lt;=0,"Current",IF(G258&lt;=30,"1-30",IF(G258&lt;=60,"31-60",IF(G258&lt;=90,"61-90","90+")))))</f>
        <v/>
      </c>
    </row>
    <row r="259">
      <c r="A259" s="8" t="n"/>
      <c r="B259" s="9" t="n"/>
      <c r="C259" s="9" t="n"/>
      <c r="D259" s="9" t="n"/>
      <c r="E259" s="10" t="n"/>
      <c r="F259" s="8" t="n"/>
      <c r="G259" s="9">
        <f>IF(I259="Settled","",MAX(0,TODAY()-F259))</f>
        <v/>
      </c>
      <c r="H259" s="9">
        <f>IF(E259="","",TEXT(E259,"0.00")&amp;"|"&amp;IF(B259="Invoice","AR","AP"))</f>
        <v/>
      </c>
      <c r="I259" s="9">
        <f>IF(H259="","",IF(COUNTIF(Bank!$F:$F,H259)&gt;0,"Settled","Open"))</f>
        <v/>
      </c>
      <c r="J259" s="9">
        <f>IF(I259&lt;&gt;"Open","",IF(G259&lt;=0,"Current",IF(G259&lt;=30,"1-30",IF(G259&lt;=60,"31-60",IF(G259&lt;=90,"61-90","90+")))))</f>
        <v/>
      </c>
    </row>
    <row r="260">
      <c r="A260" s="8" t="n"/>
      <c r="B260" s="9" t="n"/>
      <c r="C260" s="9" t="n"/>
      <c r="D260" s="9" t="n"/>
      <c r="E260" s="10" t="n"/>
      <c r="F260" s="8" t="n"/>
      <c r="G260" s="9">
        <f>IF(I260="Settled","",MAX(0,TODAY()-F260))</f>
        <v/>
      </c>
      <c r="H260" s="9">
        <f>IF(E260="","",TEXT(E260,"0.00")&amp;"|"&amp;IF(B260="Invoice","AR","AP"))</f>
        <v/>
      </c>
      <c r="I260" s="9">
        <f>IF(H260="","",IF(COUNTIF(Bank!$F:$F,H260)&gt;0,"Settled","Open"))</f>
        <v/>
      </c>
      <c r="J260" s="9">
        <f>IF(I260&lt;&gt;"Open","",IF(G260&lt;=0,"Current",IF(G260&lt;=30,"1-30",IF(G260&lt;=60,"31-60",IF(G260&lt;=90,"61-90","90+")))))</f>
        <v/>
      </c>
    </row>
    <row r="261">
      <c r="A261" s="8" t="n"/>
      <c r="B261" s="9" t="n"/>
      <c r="C261" s="9" t="n"/>
      <c r="D261" s="9" t="n"/>
      <c r="E261" s="10" t="n"/>
      <c r="F261" s="8" t="n"/>
      <c r="G261" s="9">
        <f>IF(I261="Settled","",MAX(0,TODAY()-F261))</f>
        <v/>
      </c>
      <c r="H261" s="9">
        <f>IF(E261="","",TEXT(E261,"0.00")&amp;"|"&amp;IF(B261="Invoice","AR","AP"))</f>
        <v/>
      </c>
      <c r="I261" s="9">
        <f>IF(H261="","",IF(COUNTIF(Bank!$F:$F,H261)&gt;0,"Settled","Open"))</f>
        <v/>
      </c>
      <c r="J261" s="9">
        <f>IF(I261&lt;&gt;"Open","",IF(G261&lt;=0,"Current",IF(G261&lt;=30,"1-30",IF(G261&lt;=60,"31-60",IF(G261&lt;=90,"61-90","90+")))))</f>
        <v/>
      </c>
    </row>
    <row r="262">
      <c r="A262" s="8" t="n"/>
      <c r="B262" s="9" t="n"/>
      <c r="C262" s="9" t="n"/>
      <c r="D262" s="9" t="n"/>
      <c r="E262" s="10" t="n"/>
      <c r="F262" s="8" t="n"/>
      <c r="G262" s="9">
        <f>IF(I262="Settled","",MAX(0,TODAY()-F262))</f>
        <v/>
      </c>
      <c r="H262" s="9">
        <f>IF(E262="","",TEXT(E262,"0.00")&amp;"|"&amp;IF(B262="Invoice","AR","AP"))</f>
        <v/>
      </c>
      <c r="I262" s="9">
        <f>IF(H262="","",IF(COUNTIF(Bank!$F:$F,H262)&gt;0,"Settled","Open"))</f>
        <v/>
      </c>
      <c r="J262" s="9">
        <f>IF(I262&lt;&gt;"Open","",IF(G262&lt;=0,"Current",IF(G262&lt;=30,"1-30",IF(G262&lt;=60,"31-60",IF(G262&lt;=90,"61-90","90+")))))</f>
        <v/>
      </c>
    </row>
    <row r="263">
      <c r="A263" s="8" t="n"/>
      <c r="B263" s="9" t="n"/>
      <c r="C263" s="9" t="n"/>
      <c r="D263" s="9" t="n"/>
      <c r="E263" s="10" t="n"/>
      <c r="F263" s="8" t="n"/>
      <c r="G263" s="9">
        <f>IF(I263="Settled","",MAX(0,TODAY()-F263))</f>
        <v/>
      </c>
      <c r="H263" s="9">
        <f>IF(E263="","",TEXT(E263,"0.00")&amp;"|"&amp;IF(B263="Invoice","AR","AP"))</f>
        <v/>
      </c>
      <c r="I263" s="9">
        <f>IF(H263="","",IF(COUNTIF(Bank!$F:$F,H263)&gt;0,"Settled","Open"))</f>
        <v/>
      </c>
      <c r="J263" s="9">
        <f>IF(I263&lt;&gt;"Open","",IF(G263&lt;=0,"Current",IF(G263&lt;=30,"1-30",IF(G263&lt;=60,"31-60",IF(G263&lt;=90,"61-90","90+")))))</f>
        <v/>
      </c>
    </row>
    <row r="264">
      <c r="A264" s="8" t="n"/>
      <c r="B264" s="9" t="n"/>
      <c r="C264" s="9" t="n"/>
      <c r="D264" s="9" t="n"/>
      <c r="E264" s="10" t="n"/>
      <c r="F264" s="8" t="n"/>
      <c r="G264" s="9">
        <f>IF(I264="Settled","",MAX(0,TODAY()-F264))</f>
        <v/>
      </c>
      <c r="H264" s="9">
        <f>IF(E264="","",TEXT(E264,"0.00")&amp;"|"&amp;IF(B264="Invoice","AR","AP"))</f>
        <v/>
      </c>
      <c r="I264" s="9">
        <f>IF(H264="","",IF(COUNTIF(Bank!$F:$F,H264)&gt;0,"Settled","Open"))</f>
        <v/>
      </c>
      <c r="J264" s="9">
        <f>IF(I264&lt;&gt;"Open","",IF(G264&lt;=0,"Current",IF(G264&lt;=30,"1-30",IF(G264&lt;=60,"31-60",IF(G264&lt;=90,"61-90","90+")))))</f>
        <v/>
      </c>
    </row>
    <row r="265">
      <c r="A265" s="8" t="n"/>
      <c r="B265" s="9" t="n"/>
      <c r="C265" s="9" t="n"/>
      <c r="D265" s="9" t="n"/>
      <c r="E265" s="10" t="n"/>
      <c r="F265" s="8" t="n"/>
      <c r="G265" s="9">
        <f>IF(I265="Settled","",MAX(0,TODAY()-F265))</f>
        <v/>
      </c>
      <c r="H265" s="9">
        <f>IF(E265="","",TEXT(E265,"0.00")&amp;"|"&amp;IF(B265="Invoice","AR","AP"))</f>
        <v/>
      </c>
      <c r="I265" s="9">
        <f>IF(H265="","",IF(COUNTIF(Bank!$F:$F,H265)&gt;0,"Settled","Open"))</f>
        <v/>
      </c>
      <c r="J265" s="9">
        <f>IF(I265&lt;&gt;"Open","",IF(G265&lt;=0,"Current",IF(G265&lt;=30,"1-30",IF(G265&lt;=60,"31-60",IF(G265&lt;=90,"61-90","90+")))))</f>
        <v/>
      </c>
    </row>
    <row r="266">
      <c r="A266" s="8" t="n"/>
      <c r="B266" s="9" t="n"/>
      <c r="C266" s="9" t="n"/>
      <c r="D266" s="9" t="n"/>
      <c r="E266" s="10" t="n"/>
      <c r="F266" s="8" t="n"/>
      <c r="G266" s="9">
        <f>IF(I266="Settled","",MAX(0,TODAY()-F266))</f>
        <v/>
      </c>
      <c r="H266" s="9">
        <f>IF(E266="","",TEXT(E266,"0.00")&amp;"|"&amp;IF(B266="Invoice","AR","AP"))</f>
        <v/>
      </c>
      <c r="I266" s="9">
        <f>IF(H266="","",IF(COUNTIF(Bank!$F:$F,H266)&gt;0,"Settled","Open"))</f>
        <v/>
      </c>
      <c r="J266" s="9">
        <f>IF(I266&lt;&gt;"Open","",IF(G266&lt;=0,"Current",IF(G266&lt;=30,"1-30",IF(G266&lt;=60,"31-60",IF(G266&lt;=90,"61-90","90+")))))</f>
        <v/>
      </c>
    </row>
    <row r="267">
      <c r="A267" s="8" t="n"/>
      <c r="B267" s="9" t="n"/>
      <c r="C267" s="9" t="n"/>
      <c r="D267" s="9" t="n"/>
      <c r="E267" s="10" t="n"/>
      <c r="F267" s="8" t="n"/>
      <c r="G267" s="9">
        <f>IF(I267="Settled","",MAX(0,TODAY()-F267))</f>
        <v/>
      </c>
      <c r="H267" s="9">
        <f>IF(E267="","",TEXT(E267,"0.00")&amp;"|"&amp;IF(B267="Invoice","AR","AP"))</f>
        <v/>
      </c>
      <c r="I267" s="9">
        <f>IF(H267="","",IF(COUNTIF(Bank!$F:$F,H267)&gt;0,"Settled","Open"))</f>
        <v/>
      </c>
      <c r="J267" s="9">
        <f>IF(I267&lt;&gt;"Open","",IF(G267&lt;=0,"Current",IF(G267&lt;=30,"1-30",IF(G267&lt;=60,"31-60",IF(G267&lt;=90,"61-90","90+")))))</f>
        <v/>
      </c>
    </row>
    <row r="268">
      <c r="A268" s="8" t="n"/>
      <c r="B268" s="9" t="n"/>
      <c r="C268" s="9" t="n"/>
      <c r="D268" s="9" t="n"/>
      <c r="E268" s="10" t="n"/>
      <c r="F268" s="8" t="n"/>
      <c r="G268" s="9">
        <f>IF(I268="Settled","",MAX(0,TODAY()-F268))</f>
        <v/>
      </c>
      <c r="H268" s="9">
        <f>IF(E268="","",TEXT(E268,"0.00")&amp;"|"&amp;IF(B268="Invoice","AR","AP"))</f>
        <v/>
      </c>
      <c r="I268" s="9">
        <f>IF(H268="","",IF(COUNTIF(Bank!$F:$F,H268)&gt;0,"Settled","Open"))</f>
        <v/>
      </c>
      <c r="J268" s="9">
        <f>IF(I268&lt;&gt;"Open","",IF(G268&lt;=0,"Current",IF(G268&lt;=30,"1-30",IF(G268&lt;=60,"31-60",IF(G268&lt;=90,"61-90","90+")))))</f>
        <v/>
      </c>
    </row>
    <row r="269">
      <c r="A269" s="8" t="n"/>
      <c r="B269" s="9" t="n"/>
      <c r="C269" s="9" t="n"/>
      <c r="D269" s="9" t="n"/>
      <c r="E269" s="10" t="n"/>
      <c r="F269" s="8" t="n"/>
      <c r="G269" s="9">
        <f>IF(I269="Settled","",MAX(0,TODAY()-F269))</f>
        <v/>
      </c>
      <c r="H269" s="9">
        <f>IF(E269="","",TEXT(E269,"0.00")&amp;"|"&amp;IF(B269="Invoice","AR","AP"))</f>
        <v/>
      </c>
      <c r="I269" s="9">
        <f>IF(H269="","",IF(COUNTIF(Bank!$F:$F,H269)&gt;0,"Settled","Open"))</f>
        <v/>
      </c>
      <c r="J269" s="9">
        <f>IF(I269&lt;&gt;"Open","",IF(G269&lt;=0,"Current",IF(G269&lt;=30,"1-30",IF(G269&lt;=60,"31-60",IF(G269&lt;=90,"61-90","90+")))))</f>
        <v/>
      </c>
    </row>
    <row r="270">
      <c r="A270" s="8" t="n"/>
      <c r="B270" s="9" t="n"/>
      <c r="C270" s="9" t="n"/>
      <c r="D270" s="9" t="n"/>
      <c r="E270" s="10" t="n"/>
      <c r="F270" s="8" t="n"/>
      <c r="G270" s="9">
        <f>IF(I270="Settled","",MAX(0,TODAY()-F270))</f>
        <v/>
      </c>
      <c r="H270" s="9">
        <f>IF(E270="","",TEXT(E270,"0.00")&amp;"|"&amp;IF(B270="Invoice","AR","AP"))</f>
        <v/>
      </c>
      <c r="I270" s="9">
        <f>IF(H270="","",IF(COUNTIF(Bank!$F:$F,H270)&gt;0,"Settled","Open"))</f>
        <v/>
      </c>
      <c r="J270" s="9">
        <f>IF(I270&lt;&gt;"Open","",IF(G270&lt;=0,"Current",IF(G270&lt;=30,"1-30",IF(G270&lt;=60,"31-60",IF(G270&lt;=90,"61-90","90+")))))</f>
        <v/>
      </c>
    </row>
    <row r="271">
      <c r="A271" s="8" t="n"/>
      <c r="B271" s="9" t="n"/>
      <c r="C271" s="9" t="n"/>
      <c r="D271" s="9" t="n"/>
      <c r="E271" s="10" t="n"/>
      <c r="F271" s="8" t="n"/>
      <c r="G271" s="9">
        <f>IF(I271="Settled","",MAX(0,TODAY()-F271))</f>
        <v/>
      </c>
      <c r="H271" s="9">
        <f>IF(E271="","",TEXT(E271,"0.00")&amp;"|"&amp;IF(B271="Invoice","AR","AP"))</f>
        <v/>
      </c>
      <c r="I271" s="9">
        <f>IF(H271="","",IF(COUNTIF(Bank!$F:$F,H271)&gt;0,"Settled","Open"))</f>
        <v/>
      </c>
      <c r="J271" s="9">
        <f>IF(I271&lt;&gt;"Open","",IF(G271&lt;=0,"Current",IF(G271&lt;=30,"1-30",IF(G271&lt;=60,"31-60",IF(G271&lt;=90,"61-90","90+")))))</f>
        <v/>
      </c>
    </row>
    <row r="272">
      <c r="A272" s="8" t="n"/>
      <c r="B272" s="9" t="n"/>
      <c r="C272" s="9" t="n"/>
      <c r="D272" s="9" t="n"/>
      <c r="E272" s="10" t="n"/>
      <c r="F272" s="8" t="n"/>
      <c r="G272" s="9">
        <f>IF(I272="Settled","",MAX(0,TODAY()-F272))</f>
        <v/>
      </c>
      <c r="H272" s="9">
        <f>IF(E272="","",TEXT(E272,"0.00")&amp;"|"&amp;IF(B272="Invoice","AR","AP"))</f>
        <v/>
      </c>
      <c r="I272" s="9">
        <f>IF(H272="","",IF(COUNTIF(Bank!$F:$F,H272)&gt;0,"Settled","Open"))</f>
        <v/>
      </c>
      <c r="J272" s="9">
        <f>IF(I272&lt;&gt;"Open","",IF(G272&lt;=0,"Current",IF(G272&lt;=30,"1-30",IF(G272&lt;=60,"31-60",IF(G272&lt;=90,"61-90","90+")))))</f>
        <v/>
      </c>
    </row>
    <row r="273">
      <c r="A273" s="8" t="n"/>
      <c r="B273" s="9" t="n"/>
      <c r="C273" s="9" t="n"/>
      <c r="D273" s="9" t="n"/>
      <c r="E273" s="10" t="n"/>
      <c r="F273" s="8" t="n"/>
      <c r="G273" s="9">
        <f>IF(I273="Settled","",MAX(0,TODAY()-F273))</f>
        <v/>
      </c>
      <c r="H273" s="9">
        <f>IF(E273="","",TEXT(E273,"0.00")&amp;"|"&amp;IF(B273="Invoice","AR","AP"))</f>
        <v/>
      </c>
      <c r="I273" s="9">
        <f>IF(H273="","",IF(COUNTIF(Bank!$F:$F,H273)&gt;0,"Settled","Open"))</f>
        <v/>
      </c>
      <c r="J273" s="9">
        <f>IF(I273&lt;&gt;"Open","",IF(G273&lt;=0,"Current",IF(G273&lt;=30,"1-30",IF(G273&lt;=60,"31-60",IF(G273&lt;=90,"61-90","90+")))))</f>
        <v/>
      </c>
    </row>
    <row r="274">
      <c r="A274" s="8" t="n"/>
      <c r="B274" s="9" t="n"/>
      <c r="C274" s="9" t="n"/>
      <c r="D274" s="9" t="n"/>
      <c r="E274" s="10" t="n"/>
      <c r="F274" s="8" t="n"/>
      <c r="G274" s="9">
        <f>IF(I274="Settled","",MAX(0,TODAY()-F274))</f>
        <v/>
      </c>
      <c r="H274" s="9">
        <f>IF(E274="","",TEXT(E274,"0.00")&amp;"|"&amp;IF(B274="Invoice","AR","AP"))</f>
        <v/>
      </c>
      <c r="I274" s="9">
        <f>IF(H274="","",IF(COUNTIF(Bank!$F:$F,H274)&gt;0,"Settled","Open"))</f>
        <v/>
      </c>
      <c r="J274" s="9">
        <f>IF(I274&lt;&gt;"Open","",IF(G274&lt;=0,"Current",IF(G274&lt;=30,"1-30",IF(G274&lt;=60,"31-60",IF(G274&lt;=90,"61-90","90+")))))</f>
        <v/>
      </c>
    </row>
    <row r="275">
      <c r="A275" s="8" t="n"/>
      <c r="B275" s="9" t="n"/>
      <c r="C275" s="9" t="n"/>
      <c r="D275" s="9" t="n"/>
      <c r="E275" s="10" t="n"/>
      <c r="F275" s="8" t="n"/>
      <c r="G275" s="9">
        <f>IF(I275="Settled","",MAX(0,TODAY()-F275))</f>
        <v/>
      </c>
      <c r="H275" s="9">
        <f>IF(E275="","",TEXT(E275,"0.00")&amp;"|"&amp;IF(B275="Invoice","AR","AP"))</f>
        <v/>
      </c>
      <c r="I275" s="9">
        <f>IF(H275="","",IF(COUNTIF(Bank!$F:$F,H275)&gt;0,"Settled","Open"))</f>
        <v/>
      </c>
      <c r="J275" s="9">
        <f>IF(I275&lt;&gt;"Open","",IF(G275&lt;=0,"Current",IF(G275&lt;=30,"1-30",IF(G275&lt;=60,"31-60",IF(G275&lt;=90,"61-90","90+")))))</f>
        <v/>
      </c>
    </row>
    <row r="276">
      <c r="A276" s="8" t="n"/>
      <c r="B276" s="9" t="n"/>
      <c r="C276" s="9" t="n"/>
      <c r="D276" s="9" t="n"/>
      <c r="E276" s="10" t="n"/>
      <c r="F276" s="8" t="n"/>
      <c r="G276" s="9">
        <f>IF(I276="Settled","",MAX(0,TODAY()-F276))</f>
        <v/>
      </c>
      <c r="H276" s="9">
        <f>IF(E276="","",TEXT(E276,"0.00")&amp;"|"&amp;IF(B276="Invoice","AR","AP"))</f>
        <v/>
      </c>
      <c r="I276" s="9">
        <f>IF(H276="","",IF(COUNTIF(Bank!$F:$F,H276)&gt;0,"Settled","Open"))</f>
        <v/>
      </c>
      <c r="J276" s="9">
        <f>IF(I276&lt;&gt;"Open","",IF(G276&lt;=0,"Current",IF(G276&lt;=30,"1-30",IF(G276&lt;=60,"31-60",IF(G276&lt;=90,"61-90","90+")))))</f>
        <v/>
      </c>
    </row>
    <row r="277">
      <c r="A277" s="8" t="n"/>
      <c r="B277" s="9" t="n"/>
      <c r="C277" s="9" t="n"/>
      <c r="D277" s="9" t="n"/>
      <c r="E277" s="10" t="n"/>
      <c r="F277" s="8" t="n"/>
      <c r="G277" s="9">
        <f>IF(I277="Settled","",MAX(0,TODAY()-F277))</f>
        <v/>
      </c>
      <c r="H277" s="9">
        <f>IF(E277="","",TEXT(E277,"0.00")&amp;"|"&amp;IF(B277="Invoice","AR","AP"))</f>
        <v/>
      </c>
      <c r="I277" s="9">
        <f>IF(H277="","",IF(COUNTIF(Bank!$F:$F,H277)&gt;0,"Settled","Open"))</f>
        <v/>
      </c>
      <c r="J277" s="9">
        <f>IF(I277&lt;&gt;"Open","",IF(G277&lt;=0,"Current",IF(G277&lt;=30,"1-30",IF(G277&lt;=60,"31-60",IF(G277&lt;=90,"61-90","90+")))))</f>
        <v/>
      </c>
    </row>
    <row r="278">
      <c r="A278" s="8" t="n"/>
      <c r="B278" s="9" t="n"/>
      <c r="C278" s="9" t="n"/>
      <c r="D278" s="9" t="n"/>
      <c r="E278" s="10" t="n"/>
      <c r="F278" s="8" t="n"/>
      <c r="G278" s="9">
        <f>IF(I278="Settled","",MAX(0,TODAY()-F278))</f>
        <v/>
      </c>
      <c r="H278" s="9">
        <f>IF(E278="","",TEXT(E278,"0.00")&amp;"|"&amp;IF(B278="Invoice","AR","AP"))</f>
        <v/>
      </c>
      <c r="I278" s="9">
        <f>IF(H278="","",IF(COUNTIF(Bank!$F:$F,H278)&gt;0,"Settled","Open"))</f>
        <v/>
      </c>
      <c r="J278" s="9">
        <f>IF(I278&lt;&gt;"Open","",IF(G278&lt;=0,"Current",IF(G278&lt;=30,"1-30",IF(G278&lt;=60,"31-60",IF(G278&lt;=90,"61-90","90+")))))</f>
        <v/>
      </c>
    </row>
    <row r="279">
      <c r="A279" s="8" t="n"/>
      <c r="B279" s="9" t="n"/>
      <c r="C279" s="9" t="n"/>
      <c r="D279" s="9" t="n"/>
      <c r="E279" s="10" t="n"/>
      <c r="F279" s="8" t="n"/>
      <c r="G279" s="9">
        <f>IF(I279="Settled","",MAX(0,TODAY()-F279))</f>
        <v/>
      </c>
      <c r="H279" s="9">
        <f>IF(E279="","",TEXT(E279,"0.00")&amp;"|"&amp;IF(B279="Invoice","AR","AP"))</f>
        <v/>
      </c>
      <c r="I279" s="9">
        <f>IF(H279="","",IF(COUNTIF(Bank!$F:$F,H279)&gt;0,"Settled","Open"))</f>
        <v/>
      </c>
      <c r="J279" s="9">
        <f>IF(I279&lt;&gt;"Open","",IF(G279&lt;=0,"Current",IF(G279&lt;=30,"1-30",IF(G279&lt;=60,"31-60",IF(G279&lt;=90,"61-90","90+")))))</f>
        <v/>
      </c>
    </row>
    <row r="280">
      <c r="A280" s="8" t="n"/>
      <c r="B280" s="9" t="n"/>
      <c r="C280" s="9" t="n"/>
      <c r="D280" s="9" t="n"/>
      <c r="E280" s="10" t="n"/>
      <c r="F280" s="8" t="n"/>
      <c r="G280" s="9">
        <f>IF(I280="Settled","",MAX(0,TODAY()-F280))</f>
        <v/>
      </c>
      <c r="H280" s="9">
        <f>IF(E280="","",TEXT(E280,"0.00")&amp;"|"&amp;IF(B280="Invoice","AR","AP"))</f>
        <v/>
      </c>
      <c r="I280" s="9">
        <f>IF(H280="","",IF(COUNTIF(Bank!$F:$F,H280)&gt;0,"Settled","Open"))</f>
        <v/>
      </c>
      <c r="J280" s="9">
        <f>IF(I280&lt;&gt;"Open","",IF(G280&lt;=0,"Current",IF(G280&lt;=30,"1-30",IF(G280&lt;=60,"31-60",IF(G280&lt;=90,"61-90","90+")))))</f>
        <v/>
      </c>
    </row>
    <row r="281">
      <c r="A281" s="8" t="n"/>
      <c r="B281" s="9" t="n"/>
      <c r="C281" s="9" t="n"/>
      <c r="D281" s="9" t="n"/>
      <c r="E281" s="10" t="n"/>
      <c r="F281" s="8" t="n"/>
      <c r="G281" s="9">
        <f>IF(I281="Settled","",MAX(0,TODAY()-F281))</f>
        <v/>
      </c>
      <c r="H281" s="9">
        <f>IF(E281="","",TEXT(E281,"0.00")&amp;"|"&amp;IF(B281="Invoice","AR","AP"))</f>
        <v/>
      </c>
      <c r="I281" s="9">
        <f>IF(H281="","",IF(COUNTIF(Bank!$F:$F,H281)&gt;0,"Settled","Open"))</f>
        <v/>
      </c>
      <c r="J281" s="9">
        <f>IF(I281&lt;&gt;"Open","",IF(G281&lt;=0,"Current",IF(G281&lt;=30,"1-30",IF(G281&lt;=60,"31-60",IF(G281&lt;=90,"61-90","90+")))))</f>
        <v/>
      </c>
    </row>
    <row r="282">
      <c r="A282" s="8" t="n"/>
      <c r="B282" s="9" t="n"/>
      <c r="C282" s="9" t="n"/>
      <c r="D282" s="9" t="n"/>
      <c r="E282" s="10" t="n"/>
      <c r="F282" s="8" t="n"/>
      <c r="G282" s="9">
        <f>IF(I282="Settled","",MAX(0,TODAY()-F282))</f>
        <v/>
      </c>
      <c r="H282" s="9">
        <f>IF(E282="","",TEXT(E282,"0.00")&amp;"|"&amp;IF(B282="Invoice","AR","AP"))</f>
        <v/>
      </c>
      <c r="I282" s="9">
        <f>IF(H282="","",IF(COUNTIF(Bank!$F:$F,H282)&gt;0,"Settled","Open"))</f>
        <v/>
      </c>
      <c r="J282" s="9">
        <f>IF(I282&lt;&gt;"Open","",IF(G282&lt;=0,"Current",IF(G282&lt;=30,"1-30",IF(G282&lt;=60,"31-60",IF(G282&lt;=90,"61-90","90+")))))</f>
        <v/>
      </c>
    </row>
    <row r="283">
      <c r="A283" s="8" t="n"/>
      <c r="B283" s="9" t="n"/>
      <c r="C283" s="9" t="n"/>
      <c r="D283" s="9" t="n"/>
      <c r="E283" s="10" t="n"/>
      <c r="F283" s="8" t="n"/>
      <c r="G283" s="9">
        <f>IF(I283="Settled","",MAX(0,TODAY()-F283))</f>
        <v/>
      </c>
      <c r="H283" s="9">
        <f>IF(E283="","",TEXT(E283,"0.00")&amp;"|"&amp;IF(B283="Invoice","AR","AP"))</f>
        <v/>
      </c>
      <c r="I283" s="9">
        <f>IF(H283="","",IF(COUNTIF(Bank!$F:$F,H283)&gt;0,"Settled","Open"))</f>
        <v/>
      </c>
      <c r="J283" s="9">
        <f>IF(I283&lt;&gt;"Open","",IF(G283&lt;=0,"Current",IF(G283&lt;=30,"1-30",IF(G283&lt;=60,"31-60",IF(G283&lt;=90,"61-90","90+")))))</f>
        <v/>
      </c>
    </row>
    <row r="284">
      <c r="A284" s="8" t="n"/>
      <c r="B284" s="9" t="n"/>
      <c r="C284" s="9" t="n"/>
      <c r="D284" s="9" t="n"/>
      <c r="E284" s="10" t="n"/>
      <c r="F284" s="8" t="n"/>
      <c r="G284" s="9">
        <f>IF(I284="Settled","",MAX(0,TODAY()-F284))</f>
        <v/>
      </c>
      <c r="H284" s="9">
        <f>IF(E284="","",TEXT(E284,"0.00")&amp;"|"&amp;IF(B284="Invoice","AR","AP"))</f>
        <v/>
      </c>
      <c r="I284" s="9">
        <f>IF(H284="","",IF(COUNTIF(Bank!$F:$F,H284)&gt;0,"Settled","Open"))</f>
        <v/>
      </c>
      <c r="J284" s="9">
        <f>IF(I284&lt;&gt;"Open","",IF(G284&lt;=0,"Current",IF(G284&lt;=30,"1-30",IF(G284&lt;=60,"31-60",IF(G284&lt;=90,"61-90","90+")))))</f>
        <v/>
      </c>
    </row>
    <row r="285">
      <c r="A285" s="8" t="n"/>
      <c r="B285" s="9" t="n"/>
      <c r="C285" s="9" t="n"/>
      <c r="D285" s="9" t="n"/>
      <c r="E285" s="10" t="n"/>
      <c r="F285" s="8" t="n"/>
      <c r="G285" s="9">
        <f>IF(I285="Settled","",MAX(0,TODAY()-F285))</f>
        <v/>
      </c>
      <c r="H285" s="9">
        <f>IF(E285="","",TEXT(E285,"0.00")&amp;"|"&amp;IF(B285="Invoice","AR","AP"))</f>
        <v/>
      </c>
      <c r="I285" s="9">
        <f>IF(H285="","",IF(COUNTIF(Bank!$F:$F,H285)&gt;0,"Settled","Open"))</f>
        <v/>
      </c>
      <c r="J285" s="9">
        <f>IF(I285&lt;&gt;"Open","",IF(G285&lt;=0,"Current",IF(G285&lt;=30,"1-30",IF(G285&lt;=60,"31-60",IF(G285&lt;=90,"61-90","90+")))))</f>
        <v/>
      </c>
    </row>
    <row r="286">
      <c r="A286" s="8" t="n"/>
      <c r="B286" s="9" t="n"/>
      <c r="C286" s="9" t="n"/>
      <c r="D286" s="9" t="n"/>
      <c r="E286" s="10" t="n"/>
      <c r="F286" s="8" t="n"/>
      <c r="G286" s="9">
        <f>IF(I286="Settled","",MAX(0,TODAY()-F286))</f>
        <v/>
      </c>
      <c r="H286" s="9">
        <f>IF(E286="","",TEXT(E286,"0.00")&amp;"|"&amp;IF(B286="Invoice","AR","AP"))</f>
        <v/>
      </c>
      <c r="I286" s="9">
        <f>IF(H286="","",IF(COUNTIF(Bank!$F:$F,H286)&gt;0,"Settled","Open"))</f>
        <v/>
      </c>
      <c r="J286" s="9">
        <f>IF(I286&lt;&gt;"Open","",IF(G286&lt;=0,"Current",IF(G286&lt;=30,"1-30",IF(G286&lt;=60,"31-60",IF(G286&lt;=90,"61-90","90+")))))</f>
        <v/>
      </c>
    </row>
    <row r="287">
      <c r="A287" s="8" t="n"/>
      <c r="B287" s="9" t="n"/>
      <c r="C287" s="9" t="n"/>
      <c r="D287" s="9" t="n"/>
      <c r="E287" s="10" t="n"/>
      <c r="F287" s="8" t="n"/>
      <c r="G287" s="9">
        <f>IF(I287="Settled","",MAX(0,TODAY()-F287))</f>
        <v/>
      </c>
      <c r="H287" s="9">
        <f>IF(E287="","",TEXT(E287,"0.00")&amp;"|"&amp;IF(B287="Invoice","AR","AP"))</f>
        <v/>
      </c>
      <c r="I287" s="9">
        <f>IF(H287="","",IF(COUNTIF(Bank!$F:$F,H287)&gt;0,"Settled","Open"))</f>
        <v/>
      </c>
      <c r="J287" s="9">
        <f>IF(I287&lt;&gt;"Open","",IF(G287&lt;=0,"Current",IF(G287&lt;=30,"1-30",IF(G287&lt;=60,"31-60",IF(G287&lt;=90,"61-90","90+")))))</f>
        <v/>
      </c>
    </row>
    <row r="288">
      <c r="A288" s="8" t="n"/>
      <c r="B288" s="9" t="n"/>
      <c r="C288" s="9" t="n"/>
      <c r="D288" s="9" t="n"/>
      <c r="E288" s="10" t="n"/>
      <c r="F288" s="8" t="n"/>
      <c r="G288" s="9">
        <f>IF(I288="Settled","",MAX(0,TODAY()-F288))</f>
        <v/>
      </c>
      <c r="H288" s="9">
        <f>IF(E288="","",TEXT(E288,"0.00")&amp;"|"&amp;IF(B288="Invoice","AR","AP"))</f>
        <v/>
      </c>
      <c r="I288" s="9">
        <f>IF(H288="","",IF(COUNTIF(Bank!$F:$F,H288)&gt;0,"Settled","Open"))</f>
        <v/>
      </c>
      <c r="J288" s="9">
        <f>IF(I288&lt;&gt;"Open","",IF(G288&lt;=0,"Current",IF(G288&lt;=30,"1-30",IF(G288&lt;=60,"31-60",IF(G288&lt;=90,"61-90","90+")))))</f>
        <v/>
      </c>
    </row>
    <row r="289">
      <c r="A289" s="8" t="n"/>
      <c r="B289" s="9" t="n"/>
      <c r="C289" s="9" t="n"/>
      <c r="D289" s="9" t="n"/>
      <c r="E289" s="10" t="n"/>
      <c r="F289" s="8" t="n"/>
      <c r="G289" s="9">
        <f>IF(I289="Settled","",MAX(0,TODAY()-F289))</f>
        <v/>
      </c>
      <c r="H289" s="9">
        <f>IF(E289="","",TEXT(E289,"0.00")&amp;"|"&amp;IF(B289="Invoice","AR","AP"))</f>
        <v/>
      </c>
      <c r="I289" s="9">
        <f>IF(H289="","",IF(COUNTIF(Bank!$F:$F,H289)&gt;0,"Settled","Open"))</f>
        <v/>
      </c>
      <c r="J289" s="9">
        <f>IF(I289&lt;&gt;"Open","",IF(G289&lt;=0,"Current",IF(G289&lt;=30,"1-30",IF(G289&lt;=60,"31-60",IF(G289&lt;=90,"61-90","90+")))))</f>
        <v/>
      </c>
    </row>
    <row r="290">
      <c r="A290" s="8" t="n"/>
      <c r="B290" s="9" t="n"/>
      <c r="C290" s="9" t="n"/>
      <c r="D290" s="9" t="n"/>
      <c r="E290" s="10" t="n"/>
      <c r="F290" s="8" t="n"/>
      <c r="G290" s="9">
        <f>IF(I290="Settled","",MAX(0,TODAY()-F290))</f>
        <v/>
      </c>
      <c r="H290" s="9">
        <f>IF(E290="","",TEXT(E290,"0.00")&amp;"|"&amp;IF(B290="Invoice","AR","AP"))</f>
        <v/>
      </c>
      <c r="I290" s="9">
        <f>IF(H290="","",IF(COUNTIF(Bank!$F:$F,H290)&gt;0,"Settled","Open"))</f>
        <v/>
      </c>
      <c r="J290" s="9">
        <f>IF(I290&lt;&gt;"Open","",IF(G290&lt;=0,"Current",IF(G290&lt;=30,"1-30",IF(G290&lt;=60,"31-60",IF(G290&lt;=90,"61-90","90+")))))</f>
        <v/>
      </c>
    </row>
    <row r="291">
      <c r="A291" s="8" t="n"/>
      <c r="B291" s="9" t="n"/>
      <c r="C291" s="9" t="n"/>
      <c r="D291" s="9" t="n"/>
      <c r="E291" s="10" t="n"/>
      <c r="F291" s="8" t="n"/>
      <c r="G291" s="9">
        <f>IF(I291="Settled","",MAX(0,TODAY()-F291))</f>
        <v/>
      </c>
      <c r="H291" s="9">
        <f>IF(E291="","",TEXT(E291,"0.00")&amp;"|"&amp;IF(B291="Invoice","AR","AP"))</f>
        <v/>
      </c>
      <c r="I291" s="9">
        <f>IF(H291="","",IF(COUNTIF(Bank!$F:$F,H291)&gt;0,"Settled","Open"))</f>
        <v/>
      </c>
      <c r="J291" s="9">
        <f>IF(I291&lt;&gt;"Open","",IF(G291&lt;=0,"Current",IF(G291&lt;=30,"1-30",IF(G291&lt;=60,"31-60",IF(G291&lt;=90,"61-90","90+")))))</f>
        <v/>
      </c>
    </row>
    <row r="292">
      <c r="A292" s="8" t="n"/>
      <c r="B292" s="9" t="n"/>
      <c r="C292" s="9" t="n"/>
      <c r="D292" s="9" t="n"/>
      <c r="E292" s="10" t="n"/>
      <c r="F292" s="8" t="n"/>
      <c r="G292" s="9">
        <f>IF(I292="Settled","",MAX(0,TODAY()-F292))</f>
        <v/>
      </c>
      <c r="H292" s="9">
        <f>IF(E292="","",TEXT(E292,"0.00")&amp;"|"&amp;IF(B292="Invoice","AR","AP"))</f>
        <v/>
      </c>
      <c r="I292" s="9">
        <f>IF(H292="","",IF(COUNTIF(Bank!$F:$F,H292)&gt;0,"Settled","Open"))</f>
        <v/>
      </c>
      <c r="J292" s="9">
        <f>IF(I292&lt;&gt;"Open","",IF(G292&lt;=0,"Current",IF(G292&lt;=30,"1-30",IF(G292&lt;=60,"31-60",IF(G292&lt;=90,"61-90","90+")))))</f>
        <v/>
      </c>
    </row>
    <row r="293">
      <c r="A293" s="8" t="n"/>
      <c r="B293" s="9" t="n"/>
      <c r="C293" s="9" t="n"/>
      <c r="D293" s="9" t="n"/>
      <c r="E293" s="10" t="n"/>
      <c r="F293" s="8" t="n"/>
      <c r="G293" s="9">
        <f>IF(I293="Settled","",MAX(0,TODAY()-F293))</f>
        <v/>
      </c>
      <c r="H293" s="9">
        <f>IF(E293="","",TEXT(E293,"0.00")&amp;"|"&amp;IF(B293="Invoice","AR","AP"))</f>
        <v/>
      </c>
      <c r="I293" s="9">
        <f>IF(H293="","",IF(COUNTIF(Bank!$F:$F,H293)&gt;0,"Settled","Open"))</f>
        <v/>
      </c>
      <c r="J293" s="9">
        <f>IF(I293&lt;&gt;"Open","",IF(G293&lt;=0,"Current",IF(G293&lt;=30,"1-30",IF(G293&lt;=60,"31-60",IF(G293&lt;=90,"61-90","90+")))))</f>
        <v/>
      </c>
    </row>
    <row r="294">
      <c r="A294" s="8" t="n"/>
      <c r="B294" s="9" t="n"/>
      <c r="C294" s="9" t="n"/>
      <c r="D294" s="9" t="n"/>
      <c r="E294" s="10" t="n"/>
      <c r="F294" s="8" t="n"/>
      <c r="G294" s="9">
        <f>IF(I294="Settled","",MAX(0,TODAY()-F294))</f>
        <v/>
      </c>
      <c r="H294" s="9">
        <f>IF(E294="","",TEXT(E294,"0.00")&amp;"|"&amp;IF(B294="Invoice","AR","AP"))</f>
        <v/>
      </c>
      <c r="I294" s="9">
        <f>IF(H294="","",IF(COUNTIF(Bank!$F:$F,H294)&gt;0,"Settled","Open"))</f>
        <v/>
      </c>
      <c r="J294" s="9">
        <f>IF(I294&lt;&gt;"Open","",IF(G294&lt;=0,"Current",IF(G294&lt;=30,"1-30",IF(G294&lt;=60,"31-60",IF(G294&lt;=90,"61-90","90+")))))</f>
        <v/>
      </c>
    </row>
    <row r="295">
      <c r="A295" s="8" t="n"/>
      <c r="B295" s="9" t="n"/>
      <c r="C295" s="9" t="n"/>
      <c r="D295" s="9" t="n"/>
      <c r="E295" s="10" t="n"/>
      <c r="F295" s="8" t="n"/>
      <c r="G295" s="9">
        <f>IF(I295="Settled","",MAX(0,TODAY()-F295))</f>
        <v/>
      </c>
      <c r="H295" s="9">
        <f>IF(E295="","",TEXT(E295,"0.00")&amp;"|"&amp;IF(B295="Invoice","AR","AP"))</f>
        <v/>
      </c>
      <c r="I295" s="9">
        <f>IF(H295="","",IF(COUNTIF(Bank!$F:$F,H295)&gt;0,"Settled","Open"))</f>
        <v/>
      </c>
      <c r="J295" s="9">
        <f>IF(I295&lt;&gt;"Open","",IF(G295&lt;=0,"Current",IF(G295&lt;=30,"1-30",IF(G295&lt;=60,"31-60",IF(G295&lt;=90,"61-90","90+")))))</f>
        <v/>
      </c>
    </row>
    <row r="296">
      <c r="A296" s="8" t="n"/>
      <c r="B296" s="9" t="n"/>
      <c r="C296" s="9" t="n"/>
      <c r="D296" s="9" t="n"/>
      <c r="E296" s="10" t="n"/>
      <c r="F296" s="8" t="n"/>
      <c r="G296" s="9">
        <f>IF(I296="Settled","",MAX(0,TODAY()-F296))</f>
        <v/>
      </c>
      <c r="H296" s="9">
        <f>IF(E296="","",TEXT(E296,"0.00")&amp;"|"&amp;IF(B296="Invoice","AR","AP"))</f>
        <v/>
      </c>
      <c r="I296" s="9">
        <f>IF(H296="","",IF(COUNTIF(Bank!$F:$F,H296)&gt;0,"Settled","Open"))</f>
        <v/>
      </c>
      <c r="J296" s="9">
        <f>IF(I296&lt;&gt;"Open","",IF(G296&lt;=0,"Current",IF(G296&lt;=30,"1-30",IF(G296&lt;=60,"31-60",IF(G296&lt;=90,"61-90","90+")))))</f>
        <v/>
      </c>
    </row>
    <row r="297">
      <c r="A297" s="8" t="n"/>
      <c r="B297" s="9" t="n"/>
      <c r="C297" s="9" t="n"/>
      <c r="D297" s="9" t="n"/>
      <c r="E297" s="10" t="n"/>
      <c r="F297" s="8" t="n"/>
      <c r="G297" s="9">
        <f>IF(I297="Settled","",MAX(0,TODAY()-F297))</f>
        <v/>
      </c>
      <c r="H297" s="9">
        <f>IF(E297="","",TEXT(E297,"0.00")&amp;"|"&amp;IF(B297="Invoice","AR","AP"))</f>
        <v/>
      </c>
      <c r="I297" s="9">
        <f>IF(H297="","",IF(COUNTIF(Bank!$F:$F,H297)&gt;0,"Settled","Open"))</f>
        <v/>
      </c>
      <c r="J297" s="9">
        <f>IF(I297&lt;&gt;"Open","",IF(G297&lt;=0,"Current",IF(G297&lt;=30,"1-30",IF(G297&lt;=60,"31-60",IF(G297&lt;=90,"61-90","90+")))))</f>
        <v/>
      </c>
    </row>
    <row r="298">
      <c r="A298" s="8" t="n"/>
      <c r="B298" s="9" t="n"/>
      <c r="C298" s="9" t="n"/>
      <c r="D298" s="9" t="n"/>
      <c r="E298" s="10" t="n"/>
      <c r="F298" s="8" t="n"/>
      <c r="G298" s="9">
        <f>IF(I298="Settled","",MAX(0,TODAY()-F298))</f>
        <v/>
      </c>
      <c r="H298" s="9">
        <f>IF(E298="","",TEXT(E298,"0.00")&amp;"|"&amp;IF(B298="Invoice","AR","AP"))</f>
        <v/>
      </c>
      <c r="I298" s="9">
        <f>IF(H298="","",IF(COUNTIF(Bank!$F:$F,H298)&gt;0,"Settled","Open"))</f>
        <v/>
      </c>
      <c r="J298" s="9">
        <f>IF(I298&lt;&gt;"Open","",IF(G298&lt;=0,"Current",IF(G298&lt;=30,"1-30",IF(G298&lt;=60,"31-60",IF(G298&lt;=90,"61-90","90+")))))</f>
        <v/>
      </c>
    </row>
    <row r="299">
      <c r="A299" s="8" t="n"/>
      <c r="B299" s="9" t="n"/>
      <c r="C299" s="9" t="n"/>
      <c r="D299" s="9" t="n"/>
      <c r="E299" s="10" t="n"/>
      <c r="F299" s="8" t="n"/>
      <c r="G299" s="9">
        <f>IF(I299="Settled","",MAX(0,TODAY()-F299))</f>
        <v/>
      </c>
      <c r="H299" s="9">
        <f>IF(E299="","",TEXT(E299,"0.00")&amp;"|"&amp;IF(B299="Invoice","AR","AP"))</f>
        <v/>
      </c>
      <c r="I299" s="9">
        <f>IF(H299="","",IF(COUNTIF(Bank!$F:$F,H299)&gt;0,"Settled","Open"))</f>
        <v/>
      </c>
      <c r="J299" s="9">
        <f>IF(I299&lt;&gt;"Open","",IF(G299&lt;=0,"Current",IF(G299&lt;=30,"1-30",IF(G299&lt;=60,"31-60",IF(G299&lt;=90,"61-90","90+")))))</f>
        <v/>
      </c>
    </row>
    <row r="300">
      <c r="A300" s="8" t="n"/>
      <c r="B300" s="9" t="n"/>
      <c r="C300" s="9" t="n"/>
      <c r="D300" s="9" t="n"/>
      <c r="E300" s="10" t="n"/>
      <c r="F300" s="8" t="n"/>
      <c r="G300" s="9">
        <f>IF(I300="Settled","",MAX(0,TODAY()-F300))</f>
        <v/>
      </c>
      <c r="H300" s="9">
        <f>IF(E300="","",TEXT(E300,"0.00")&amp;"|"&amp;IF(B300="Invoice","AR","AP"))</f>
        <v/>
      </c>
      <c r="I300" s="9">
        <f>IF(H300="","",IF(COUNTIF(Bank!$F:$F,H300)&gt;0,"Settled","Open"))</f>
        <v/>
      </c>
      <c r="J300" s="9">
        <f>IF(I300&lt;&gt;"Open","",IF(G300&lt;=0,"Current",IF(G300&lt;=30,"1-30",IF(G300&lt;=60,"31-60",IF(G300&lt;=90,"61-90","90+")))))</f>
        <v/>
      </c>
    </row>
    <row r="301">
      <c r="A301" s="8" t="n"/>
      <c r="B301" s="9" t="n"/>
      <c r="C301" s="9" t="n"/>
      <c r="D301" s="9" t="n"/>
      <c r="E301" s="10" t="n"/>
      <c r="F301" s="8" t="n"/>
      <c r="G301" s="9">
        <f>IF(I301="Settled","",MAX(0,TODAY()-F301))</f>
        <v/>
      </c>
      <c r="H301" s="9">
        <f>IF(E301="","",TEXT(E301,"0.00")&amp;"|"&amp;IF(B301="Invoice","AR","AP"))</f>
        <v/>
      </c>
      <c r="I301" s="9">
        <f>IF(H301="","",IF(COUNTIF(Bank!$F:$F,H301)&gt;0,"Settled","Open"))</f>
        <v/>
      </c>
      <c r="J301" s="9">
        <f>IF(I301&lt;&gt;"Open","",IF(G301&lt;=0,"Current",IF(G301&lt;=30,"1-30",IF(G301&lt;=60,"31-60",IF(G301&lt;=90,"61-90","90+")))))</f>
        <v/>
      </c>
    </row>
    <row r="302">
      <c r="A302" s="8" t="n"/>
      <c r="B302" s="9" t="n"/>
      <c r="C302" s="9" t="n"/>
      <c r="D302" s="9" t="n"/>
      <c r="E302" s="10" t="n"/>
      <c r="F302" s="8" t="n"/>
      <c r="G302" s="9">
        <f>IF(I302="Settled","",MAX(0,TODAY()-F302))</f>
        <v/>
      </c>
      <c r="H302" s="9">
        <f>IF(E302="","",TEXT(E302,"0.00")&amp;"|"&amp;IF(B302="Invoice","AR","AP"))</f>
        <v/>
      </c>
      <c r="I302" s="9">
        <f>IF(H302="","",IF(COUNTIF(Bank!$F:$F,H302)&gt;0,"Settled","Open"))</f>
        <v/>
      </c>
      <c r="J302" s="9">
        <f>IF(I302&lt;&gt;"Open","",IF(G302&lt;=0,"Current",IF(G302&lt;=30,"1-30",IF(G302&lt;=60,"31-60",IF(G302&lt;=90,"61-90","90+")))))</f>
        <v/>
      </c>
    </row>
    <row r="303">
      <c r="A303" s="8" t="n"/>
      <c r="B303" s="9" t="n"/>
      <c r="C303" s="9" t="n"/>
      <c r="D303" s="9" t="n"/>
      <c r="E303" s="10" t="n"/>
      <c r="F303" s="8" t="n"/>
      <c r="G303" s="9">
        <f>IF(I303="Settled","",MAX(0,TODAY()-F303))</f>
        <v/>
      </c>
      <c r="H303" s="9">
        <f>IF(E303="","",TEXT(E303,"0.00")&amp;"|"&amp;IF(B303="Invoice","AR","AP"))</f>
        <v/>
      </c>
      <c r="I303" s="9">
        <f>IF(H303="","",IF(COUNTIF(Bank!$F:$F,H303)&gt;0,"Settled","Open"))</f>
        <v/>
      </c>
      <c r="J303" s="9">
        <f>IF(I303&lt;&gt;"Open","",IF(G303&lt;=0,"Current",IF(G303&lt;=30,"1-30",IF(G303&lt;=60,"31-60",IF(G303&lt;=90,"61-90","90+")))))</f>
        <v/>
      </c>
    </row>
    <row r="304">
      <c r="A304" s="8" t="n"/>
      <c r="B304" s="9" t="n"/>
      <c r="C304" s="9" t="n"/>
      <c r="D304" s="9" t="n"/>
      <c r="E304" s="10" t="n"/>
      <c r="F304" s="8" t="n"/>
      <c r="G304" s="9">
        <f>IF(I304="Settled","",MAX(0,TODAY()-F304))</f>
        <v/>
      </c>
      <c r="H304" s="9">
        <f>IF(E304="","",TEXT(E304,"0.00")&amp;"|"&amp;IF(B304="Invoice","AR","AP"))</f>
        <v/>
      </c>
      <c r="I304" s="9">
        <f>IF(H304="","",IF(COUNTIF(Bank!$F:$F,H304)&gt;0,"Settled","Open"))</f>
        <v/>
      </c>
      <c r="J304" s="9">
        <f>IF(I304&lt;&gt;"Open","",IF(G304&lt;=0,"Current",IF(G304&lt;=30,"1-30",IF(G304&lt;=60,"31-60",IF(G304&lt;=90,"61-90","90+")))))</f>
        <v/>
      </c>
    </row>
    <row r="305">
      <c r="A305" s="8" t="n"/>
      <c r="B305" s="9" t="n"/>
      <c r="C305" s="9" t="n"/>
      <c r="D305" s="9" t="n"/>
      <c r="E305" s="10" t="n"/>
      <c r="F305" s="8" t="n"/>
      <c r="G305" s="9">
        <f>IF(I305="Settled","",MAX(0,TODAY()-F305))</f>
        <v/>
      </c>
      <c r="H305" s="9">
        <f>IF(E305="","",TEXT(E305,"0.00")&amp;"|"&amp;IF(B305="Invoice","AR","AP"))</f>
        <v/>
      </c>
      <c r="I305" s="9">
        <f>IF(H305="","",IF(COUNTIF(Bank!$F:$F,H305)&gt;0,"Settled","Open"))</f>
        <v/>
      </c>
      <c r="J305" s="9">
        <f>IF(I305&lt;&gt;"Open","",IF(G305&lt;=0,"Current",IF(G305&lt;=30,"1-30",IF(G305&lt;=60,"31-60",IF(G305&lt;=90,"61-90","90+")))))</f>
        <v/>
      </c>
    </row>
    <row r="306">
      <c r="A306" s="8" t="n"/>
      <c r="B306" s="9" t="n"/>
      <c r="C306" s="9" t="n"/>
      <c r="D306" s="9" t="n"/>
      <c r="E306" s="10" t="n"/>
      <c r="F306" s="8" t="n"/>
      <c r="G306" s="9">
        <f>IF(I306="Settled","",MAX(0,TODAY()-F306))</f>
        <v/>
      </c>
      <c r="H306" s="9">
        <f>IF(E306="","",TEXT(E306,"0.00")&amp;"|"&amp;IF(B306="Invoice","AR","AP"))</f>
        <v/>
      </c>
      <c r="I306" s="9">
        <f>IF(H306="","",IF(COUNTIF(Bank!$F:$F,H306)&gt;0,"Settled","Open"))</f>
        <v/>
      </c>
      <c r="J306" s="9">
        <f>IF(I306&lt;&gt;"Open","",IF(G306&lt;=0,"Current",IF(G306&lt;=30,"1-30",IF(G306&lt;=60,"31-60",IF(G306&lt;=90,"61-90","90+")))))</f>
        <v/>
      </c>
    </row>
    <row r="307">
      <c r="A307" s="8" t="n"/>
      <c r="B307" s="9" t="n"/>
      <c r="C307" s="9" t="n"/>
      <c r="D307" s="9" t="n"/>
      <c r="E307" s="10" t="n"/>
      <c r="F307" s="8" t="n"/>
      <c r="G307" s="9">
        <f>IF(I307="Settled","",MAX(0,TODAY()-F307))</f>
        <v/>
      </c>
      <c r="H307" s="9">
        <f>IF(E307="","",TEXT(E307,"0.00")&amp;"|"&amp;IF(B307="Invoice","AR","AP"))</f>
        <v/>
      </c>
      <c r="I307" s="9">
        <f>IF(H307="","",IF(COUNTIF(Bank!$F:$F,H307)&gt;0,"Settled","Open"))</f>
        <v/>
      </c>
      <c r="J307" s="9">
        <f>IF(I307&lt;&gt;"Open","",IF(G307&lt;=0,"Current",IF(G307&lt;=30,"1-30",IF(G307&lt;=60,"31-60",IF(G307&lt;=90,"61-90","90+")))))</f>
        <v/>
      </c>
    </row>
    <row r="308">
      <c r="A308" s="8" t="n"/>
      <c r="B308" s="9" t="n"/>
      <c r="C308" s="9" t="n"/>
      <c r="D308" s="9" t="n"/>
      <c r="E308" s="10" t="n"/>
      <c r="F308" s="8" t="n"/>
      <c r="G308" s="9">
        <f>IF(I308="Settled","",MAX(0,TODAY()-F308))</f>
        <v/>
      </c>
      <c r="H308" s="9">
        <f>IF(E308="","",TEXT(E308,"0.00")&amp;"|"&amp;IF(B308="Invoice","AR","AP"))</f>
        <v/>
      </c>
      <c r="I308" s="9">
        <f>IF(H308="","",IF(COUNTIF(Bank!$F:$F,H308)&gt;0,"Settled","Open"))</f>
        <v/>
      </c>
      <c r="J308" s="9">
        <f>IF(I308&lt;&gt;"Open","",IF(G308&lt;=0,"Current",IF(G308&lt;=30,"1-30",IF(G308&lt;=60,"31-60",IF(G308&lt;=90,"61-90","90+")))))</f>
        <v/>
      </c>
    </row>
    <row r="309">
      <c r="A309" s="8" t="n"/>
      <c r="B309" s="9" t="n"/>
      <c r="C309" s="9" t="n"/>
      <c r="D309" s="9" t="n"/>
      <c r="E309" s="10" t="n"/>
      <c r="F309" s="8" t="n"/>
      <c r="G309" s="9">
        <f>IF(I309="Settled","",MAX(0,TODAY()-F309))</f>
        <v/>
      </c>
      <c r="H309" s="9">
        <f>IF(E309="","",TEXT(E309,"0.00")&amp;"|"&amp;IF(B309="Invoice","AR","AP"))</f>
        <v/>
      </c>
      <c r="I309" s="9">
        <f>IF(H309="","",IF(COUNTIF(Bank!$F:$F,H309)&gt;0,"Settled","Open"))</f>
        <v/>
      </c>
      <c r="J309" s="9">
        <f>IF(I309&lt;&gt;"Open","",IF(G309&lt;=0,"Current",IF(G309&lt;=30,"1-30",IF(G309&lt;=60,"31-60",IF(G309&lt;=90,"61-90","90+")))))</f>
        <v/>
      </c>
    </row>
    <row r="310">
      <c r="A310" s="8" t="n"/>
      <c r="B310" s="9" t="n"/>
      <c r="C310" s="9" t="n"/>
      <c r="D310" s="9" t="n"/>
      <c r="E310" s="10" t="n"/>
      <c r="F310" s="8" t="n"/>
      <c r="G310" s="9">
        <f>IF(I310="Settled","",MAX(0,TODAY()-F310))</f>
        <v/>
      </c>
      <c r="H310" s="9">
        <f>IF(E310="","",TEXT(E310,"0.00")&amp;"|"&amp;IF(B310="Invoice","AR","AP"))</f>
        <v/>
      </c>
      <c r="I310" s="9">
        <f>IF(H310="","",IF(COUNTIF(Bank!$F:$F,H310)&gt;0,"Settled","Open"))</f>
        <v/>
      </c>
      <c r="J310" s="9">
        <f>IF(I310&lt;&gt;"Open","",IF(G310&lt;=0,"Current",IF(G310&lt;=30,"1-30",IF(G310&lt;=60,"31-60",IF(G310&lt;=90,"61-90","90+")))))</f>
        <v/>
      </c>
    </row>
    <row r="311">
      <c r="A311" s="8" t="n"/>
      <c r="B311" s="9" t="n"/>
      <c r="C311" s="9" t="n"/>
      <c r="D311" s="9" t="n"/>
      <c r="E311" s="10" t="n"/>
      <c r="F311" s="8" t="n"/>
      <c r="G311" s="9">
        <f>IF(I311="Settled","",MAX(0,TODAY()-F311))</f>
        <v/>
      </c>
      <c r="H311" s="9">
        <f>IF(E311="","",TEXT(E311,"0.00")&amp;"|"&amp;IF(B311="Invoice","AR","AP"))</f>
        <v/>
      </c>
      <c r="I311" s="9">
        <f>IF(H311="","",IF(COUNTIF(Bank!$F:$F,H311)&gt;0,"Settled","Open"))</f>
        <v/>
      </c>
      <c r="J311" s="9">
        <f>IF(I311&lt;&gt;"Open","",IF(G311&lt;=0,"Current",IF(G311&lt;=30,"1-30",IF(G311&lt;=60,"31-60",IF(G311&lt;=90,"61-90","90+")))))</f>
        <v/>
      </c>
    </row>
    <row r="312">
      <c r="A312" s="8" t="n"/>
      <c r="B312" s="9" t="n"/>
      <c r="C312" s="9" t="n"/>
      <c r="D312" s="9" t="n"/>
      <c r="E312" s="10" t="n"/>
      <c r="F312" s="8" t="n"/>
      <c r="G312" s="9">
        <f>IF(I312="Settled","",MAX(0,TODAY()-F312))</f>
        <v/>
      </c>
      <c r="H312" s="9">
        <f>IF(E312="","",TEXT(E312,"0.00")&amp;"|"&amp;IF(B312="Invoice","AR","AP"))</f>
        <v/>
      </c>
      <c r="I312" s="9">
        <f>IF(H312="","",IF(COUNTIF(Bank!$F:$F,H312)&gt;0,"Settled","Open"))</f>
        <v/>
      </c>
      <c r="J312" s="9">
        <f>IF(I312&lt;&gt;"Open","",IF(G312&lt;=0,"Current",IF(G312&lt;=30,"1-30",IF(G312&lt;=60,"31-60",IF(G312&lt;=90,"61-90","90+")))))</f>
        <v/>
      </c>
    </row>
    <row r="313">
      <c r="A313" s="8" t="n"/>
      <c r="B313" s="9" t="n"/>
      <c r="C313" s="9" t="n"/>
      <c r="D313" s="9" t="n"/>
      <c r="E313" s="10" t="n"/>
      <c r="F313" s="8" t="n"/>
      <c r="G313" s="9">
        <f>IF(I313="Settled","",MAX(0,TODAY()-F313))</f>
        <v/>
      </c>
      <c r="H313" s="9">
        <f>IF(E313="","",TEXT(E313,"0.00")&amp;"|"&amp;IF(B313="Invoice","AR","AP"))</f>
        <v/>
      </c>
      <c r="I313" s="9">
        <f>IF(H313="","",IF(COUNTIF(Bank!$F:$F,H313)&gt;0,"Settled","Open"))</f>
        <v/>
      </c>
      <c r="J313" s="9">
        <f>IF(I313&lt;&gt;"Open","",IF(G313&lt;=0,"Current",IF(G313&lt;=30,"1-30",IF(G313&lt;=60,"31-60",IF(G313&lt;=90,"61-90","90+")))))</f>
        <v/>
      </c>
    </row>
    <row r="314">
      <c r="A314" s="8" t="n"/>
      <c r="B314" s="9" t="n"/>
      <c r="C314" s="9" t="n"/>
      <c r="D314" s="9" t="n"/>
      <c r="E314" s="10" t="n"/>
      <c r="F314" s="8" t="n"/>
      <c r="G314" s="9">
        <f>IF(I314="Settled","",MAX(0,TODAY()-F314))</f>
        <v/>
      </c>
      <c r="H314" s="9">
        <f>IF(E314="","",TEXT(E314,"0.00")&amp;"|"&amp;IF(B314="Invoice","AR","AP"))</f>
        <v/>
      </c>
      <c r="I314" s="9">
        <f>IF(H314="","",IF(COUNTIF(Bank!$F:$F,H314)&gt;0,"Settled","Open"))</f>
        <v/>
      </c>
      <c r="J314" s="9">
        <f>IF(I314&lt;&gt;"Open","",IF(G314&lt;=0,"Current",IF(G314&lt;=30,"1-30",IF(G314&lt;=60,"31-60",IF(G314&lt;=90,"61-90","90+")))))</f>
        <v/>
      </c>
    </row>
    <row r="315">
      <c r="A315" s="8" t="n"/>
      <c r="B315" s="9" t="n"/>
      <c r="C315" s="9" t="n"/>
      <c r="D315" s="9" t="n"/>
      <c r="E315" s="10" t="n"/>
      <c r="F315" s="8" t="n"/>
      <c r="G315" s="9">
        <f>IF(I315="Settled","",MAX(0,TODAY()-F315))</f>
        <v/>
      </c>
      <c r="H315" s="9">
        <f>IF(E315="","",TEXT(E315,"0.00")&amp;"|"&amp;IF(B315="Invoice","AR","AP"))</f>
        <v/>
      </c>
      <c r="I315" s="9">
        <f>IF(H315="","",IF(COUNTIF(Bank!$F:$F,H315)&gt;0,"Settled","Open"))</f>
        <v/>
      </c>
      <c r="J315" s="9">
        <f>IF(I315&lt;&gt;"Open","",IF(G315&lt;=0,"Current",IF(G315&lt;=30,"1-30",IF(G315&lt;=60,"31-60",IF(G315&lt;=90,"61-90","90+")))))</f>
        <v/>
      </c>
    </row>
    <row r="316">
      <c r="A316" s="8" t="n"/>
      <c r="B316" s="9" t="n"/>
      <c r="C316" s="9" t="n"/>
      <c r="D316" s="9" t="n"/>
      <c r="E316" s="10" t="n"/>
      <c r="F316" s="8" t="n"/>
      <c r="G316" s="9">
        <f>IF(I316="Settled","",MAX(0,TODAY()-F316))</f>
        <v/>
      </c>
      <c r="H316" s="9">
        <f>IF(E316="","",TEXT(E316,"0.00")&amp;"|"&amp;IF(B316="Invoice","AR","AP"))</f>
        <v/>
      </c>
      <c r="I316" s="9">
        <f>IF(H316="","",IF(COUNTIF(Bank!$F:$F,H316)&gt;0,"Settled","Open"))</f>
        <v/>
      </c>
      <c r="J316" s="9">
        <f>IF(I316&lt;&gt;"Open","",IF(G316&lt;=0,"Current",IF(G316&lt;=30,"1-30",IF(G316&lt;=60,"31-60",IF(G316&lt;=90,"61-90","90+")))))</f>
        <v/>
      </c>
    </row>
    <row r="317">
      <c r="A317" s="8" t="n"/>
      <c r="B317" s="9" t="n"/>
      <c r="C317" s="9" t="n"/>
      <c r="D317" s="9" t="n"/>
      <c r="E317" s="10" t="n"/>
      <c r="F317" s="8" t="n"/>
      <c r="G317" s="9">
        <f>IF(I317="Settled","",MAX(0,TODAY()-F317))</f>
        <v/>
      </c>
      <c r="H317" s="9">
        <f>IF(E317="","",TEXT(E317,"0.00")&amp;"|"&amp;IF(B317="Invoice","AR","AP"))</f>
        <v/>
      </c>
      <c r="I317" s="9">
        <f>IF(H317="","",IF(COUNTIF(Bank!$F:$F,H317)&gt;0,"Settled","Open"))</f>
        <v/>
      </c>
      <c r="J317" s="9">
        <f>IF(I317&lt;&gt;"Open","",IF(G317&lt;=0,"Current",IF(G317&lt;=30,"1-30",IF(G317&lt;=60,"31-60",IF(G317&lt;=90,"61-90","90+")))))</f>
        <v/>
      </c>
    </row>
    <row r="318">
      <c r="A318" s="8" t="n"/>
      <c r="B318" s="9" t="n"/>
      <c r="C318" s="9" t="n"/>
      <c r="D318" s="9" t="n"/>
      <c r="E318" s="10" t="n"/>
      <c r="F318" s="8" t="n"/>
      <c r="G318" s="9">
        <f>IF(I318="Settled","",MAX(0,TODAY()-F318))</f>
        <v/>
      </c>
      <c r="H318" s="9">
        <f>IF(E318="","",TEXT(E318,"0.00")&amp;"|"&amp;IF(B318="Invoice","AR","AP"))</f>
        <v/>
      </c>
      <c r="I318" s="9">
        <f>IF(H318="","",IF(COUNTIF(Bank!$F:$F,H318)&gt;0,"Settled","Open"))</f>
        <v/>
      </c>
      <c r="J318" s="9">
        <f>IF(I318&lt;&gt;"Open","",IF(G318&lt;=0,"Current",IF(G318&lt;=30,"1-30",IF(G318&lt;=60,"31-60",IF(G318&lt;=90,"61-90","90+")))))</f>
        <v/>
      </c>
    </row>
    <row r="319">
      <c r="A319" s="8" t="n"/>
      <c r="B319" s="9" t="n"/>
      <c r="C319" s="9" t="n"/>
      <c r="D319" s="9" t="n"/>
      <c r="E319" s="10" t="n"/>
      <c r="F319" s="8" t="n"/>
      <c r="G319" s="9">
        <f>IF(I319="Settled","",MAX(0,TODAY()-F319))</f>
        <v/>
      </c>
      <c r="H319" s="9">
        <f>IF(E319="","",TEXT(E319,"0.00")&amp;"|"&amp;IF(B319="Invoice","AR","AP"))</f>
        <v/>
      </c>
      <c r="I319" s="9">
        <f>IF(H319="","",IF(COUNTIF(Bank!$F:$F,H319)&gt;0,"Settled","Open"))</f>
        <v/>
      </c>
      <c r="J319" s="9">
        <f>IF(I319&lt;&gt;"Open","",IF(G319&lt;=0,"Current",IF(G319&lt;=30,"1-30",IF(G319&lt;=60,"31-60",IF(G319&lt;=90,"61-90","90+")))))</f>
        <v/>
      </c>
    </row>
    <row r="320">
      <c r="A320" s="8" t="n"/>
      <c r="B320" s="9" t="n"/>
      <c r="C320" s="9" t="n"/>
      <c r="D320" s="9" t="n"/>
      <c r="E320" s="10" t="n"/>
      <c r="F320" s="8" t="n"/>
      <c r="G320" s="9">
        <f>IF(I320="Settled","",MAX(0,TODAY()-F320))</f>
        <v/>
      </c>
      <c r="H320" s="9">
        <f>IF(E320="","",TEXT(E320,"0.00")&amp;"|"&amp;IF(B320="Invoice","AR","AP"))</f>
        <v/>
      </c>
      <c r="I320" s="9">
        <f>IF(H320="","",IF(COUNTIF(Bank!$F:$F,H320)&gt;0,"Settled","Open"))</f>
        <v/>
      </c>
      <c r="J320" s="9">
        <f>IF(I320&lt;&gt;"Open","",IF(G320&lt;=0,"Current",IF(G320&lt;=30,"1-30",IF(G320&lt;=60,"31-60",IF(G320&lt;=90,"61-90","90+")))))</f>
        <v/>
      </c>
    </row>
    <row r="321">
      <c r="A321" s="8" t="n"/>
      <c r="B321" s="9" t="n"/>
      <c r="C321" s="9" t="n"/>
      <c r="D321" s="9" t="n"/>
      <c r="E321" s="10" t="n"/>
      <c r="F321" s="8" t="n"/>
      <c r="G321" s="9">
        <f>IF(I321="Settled","",MAX(0,TODAY()-F321))</f>
        <v/>
      </c>
      <c r="H321" s="9">
        <f>IF(E321="","",TEXT(E321,"0.00")&amp;"|"&amp;IF(B321="Invoice","AR","AP"))</f>
        <v/>
      </c>
      <c r="I321" s="9">
        <f>IF(H321="","",IF(COUNTIF(Bank!$F:$F,H321)&gt;0,"Settled","Open"))</f>
        <v/>
      </c>
      <c r="J321" s="9">
        <f>IF(I321&lt;&gt;"Open","",IF(G321&lt;=0,"Current",IF(G321&lt;=30,"1-30",IF(G321&lt;=60,"31-60",IF(G321&lt;=90,"61-90","90+")))))</f>
        <v/>
      </c>
    </row>
    <row r="322">
      <c r="A322" s="8" t="n"/>
      <c r="B322" s="9" t="n"/>
      <c r="C322" s="9" t="n"/>
      <c r="D322" s="9" t="n"/>
      <c r="E322" s="10" t="n"/>
      <c r="F322" s="8" t="n"/>
      <c r="G322" s="9">
        <f>IF(I322="Settled","",MAX(0,TODAY()-F322))</f>
        <v/>
      </c>
      <c r="H322" s="9">
        <f>IF(E322="","",TEXT(E322,"0.00")&amp;"|"&amp;IF(B322="Invoice","AR","AP"))</f>
        <v/>
      </c>
      <c r="I322" s="9">
        <f>IF(H322="","",IF(COUNTIF(Bank!$F:$F,H322)&gt;0,"Settled","Open"))</f>
        <v/>
      </c>
      <c r="J322" s="9">
        <f>IF(I322&lt;&gt;"Open","",IF(G322&lt;=0,"Current",IF(G322&lt;=30,"1-30",IF(G322&lt;=60,"31-60",IF(G322&lt;=90,"61-90","90+")))))</f>
        <v/>
      </c>
    </row>
    <row r="323">
      <c r="A323" s="8" t="n"/>
      <c r="B323" s="9" t="n"/>
      <c r="C323" s="9" t="n"/>
      <c r="D323" s="9" t="n"/>
      <c r="E323" s="10" t="n"/>
      <c r="F323" s="8" t="n"/>
      <c r="G323" s="9">
        <f>IF(I323="Settled","",MAX(0,TODAY()-F323))</f>
        <v/>
      </c>
      <c r="H323" s="9">
        <f>IF(E323="","",TEXT(E323,"0.00")&amp;"|"&amp;IF(B323="Invoice","AR","AP"))</f>
        <v/>
      </c>
      <c r="I323" s="9">
        <f>IF(H323="","",IF(COUNTIF(Bank!$F:$F,H323)&gt;0,"Settled","Open"))</f>
        <v/>
      </c>
      <c r="J323" s="9">
        <f>IF(I323&lt;&gt;"Open","",IF(G323&lt;=0,"Current",IF(G323&lt;=30,"1-30",IF(G323&lt;=60,"31-60",IF(G323&lt;=90,"61-90","90+")))))</f>
        <v/>
      </c>
    </row>
    <row r="324">
      <c r="A324" s="8" t="n"/>
      <c r="B324" s="9" t="n"/>
      <c r="C324" s="9" t="n"/>
      <c r="D324" s="9" t="n"/>
      <c r="E324" s="10" t="n"/>
      <c r="F324" s="8" t="n"/>
      <c r="G324" s="9">
        <f>IF(I324="Settled","",MAX(0,TODAY()-F324))</f>
        <v/>
      </c>
      <c r="H324" s="9">
        <f>IF(E324="","",TEXT(E324,"0.00")&amp;"|"&amp;IF(B324="Invoice","AR","AP"))</f>
        <v/>
      </c>
      <c r="I324" s="9">
        <f>IF(H324="","",IF(COUNTIF(Bank!$F:$F,H324)&gt;0,"Settled","Open"))</f>
        <v/>
      </c>
      <c r="J324" s="9">
        <f>IF(I324&lt;&gt;"Open","",IF(G324&lt;=0,"Current",IF(G324&lt;=30,"1-30",IF(G324&lt;=60,"31-60",IF(G324&lt;=90,"61-90","90+")))))</f>
        <v/>
      </c>
    </row>
    <row r="325">
      <c r="A325" s="8" t="n"/>
      <c r="B325" s="9" t="n"/>
      <c r="C325" s="9" t="n"/>
      <c r="D325" s="9" t="n"/>
      <c r="E325" s="10" t="n"/>
      <c r="F325" s="8" t="n"/>
      <c r="G325" s="9">
        <f>IF(I325="Settled","",MAX(0,TODAY()-F325))</f>
        <v/>
      </c>
      <c r="H325" s="9">
        <f>IF(E325="","",TEXT(E325,"0.00")&amp;"|"&amp;IF(B325="Invoice","AR","AP"))</f>
        <v/>
      </c>
      <c r="I325" s="9">
        <f>IF(H325="","",IF(COUNTIF(Bank!$F:$F,H325)&gt;0,"Settled","Open"))</f>
        <v/>
      </c>
      <c r="J325" s="9">
        <f>IF(I325&lt;&gt;"Open","",IF(G325&lt;=0,"Current",IF(G325&lt;=30,"1-30",IF(G325&lt;=60,"31-60",IF(G325&lt;=90,"61-90","90+")))))</f>
        <v/>
      </c>
    </row>
    <row r="326">
      <c r="A326" s="8" t="n"/>
      <c r="B326" s="9" t="n"/>
      <c r="C326" s="9" t="n"/>
      <c r="D326" s="9" t="n"/>
      <c r="E326" s="10" t="n"/>
      <c r="F326" s="8" t="n"/>
      <c r="G326" s="9">
        <f>IF(I326="Settled","",MAX(0,TODAY()-F326))</f>
        <v/>
      </c>
      <c r="H326" s="9">
        <f>IF(E326="","",TEXT(E326,"0.00")&amp;"|"&amp;IF(B326="Invoice","AR","AP"))</f>
        <v/>
      </c>
      <c r="I326" s="9">
        <f>IF(H326="","",IF(COUNTIF(Bank!$F:$F,H326)&gt;0,"Settled","Open"))</f>
        <v/>
      </c>
      <c r="J326" s="9">
        <f>IF(I326&lt;&gt;"Open","",IF(G326&lt;=0,"Current",IF(G326&lt;=30,"1-30",IF(G326&lt;=60,"31-60",IF(G326&lt;=90,"61-90","90+")))))</f>
        <v/>
      </c>
    </row>
    <row r="327">
      <c r="A327" s="8" t="n"/>
      <c r="B327" s="9" t="n"/>
      <c r="C327" s="9" t="n"/>
      <c r="D327" s="9" t="n"/>
      <c r="E327" s="10" t="n"/>
      <c r="F327" s="8" t="n"/>
      <c r="G327" s="9">
        <f>IF(I327="Settled","",MAX(0,TODAY()-F327))</f>
        <v/>
      </c>
      <c r="H327" s="9">
        <f>IF(E327="","",TEXT(E327,"0.00")&amp;"|"&amp;IF(B327="Invoice","AR","AP"))</f>
        <v/>
      </c>
      <c r="I327" s="9">
        <f>IF(H327="","",IF(COUNTIF(Bank!$F:$F,H327)&gt;0,"Settled","Open"))</f>
        <v/>
      </c>
      <c r="J327" s="9">
        <f>IF(I327&lt;&gt;"Open","",IF(G327&lt;=0,"Current",IF(G327&lt;=30,"1-30",IF(G327&lt;=60,"31-60",IF(G327&lt;=90,"61-90","90+")))))</f>
        <v/>
      </c>
    </row>
    <row r="328">
      <c r="A328" s="8" t="n"/>
      <c r="B328" s="9" t="n"/>
      <c r="C328" s="9" t="n"/>
      <c r="D328" s="9" t="n"/>
      <c r="E328" s="10" t="n"/>
      <c r="F328" s="8" t="n"/>
      <c r="G328" s="9">
        <f>IF(I328="Settled","",MAX(0,TODAY()-F328))</f>
        <v/>
      </c>
      <c r="H328" s="9">
        <f>IF(E328="","",TEXT(E328,"0.00")&amp;"|"&amp;IF(B328="Invoice","AR","AP"))</f>
        <v/>
      </c>
      <c r="I328" s="9">
        <f>IF(H328="","",IF(COUNTIF(Bank!$F:$F,H328)&gt;0,"Settled","Open"))</f>
        <v/>
      </c>
      <c r="J328" s="9">
        <f>IF(I328&lt;&gt;"Open","",IF(G328&lt;=0,"Current",IF(G328&lt;=30,"1-30",IF(G328&lt;=60,"31-60",IF(G328&lt;=90,"61-90","90+")))))</f>
        <v/>
      </c>
    </row>
    <row r="329">
      <c r="A329" s="8" t="n"/>
      <c r="B329" s="9" t="n"/>
      <c r="C329" s="9" t="n"/>
      <c r="D329" s="9" t="n"/>
      <c r="E329" s="10" t="n"/>
      <c r="F329" s="8" t="n"/>
      <c r="G329" s="9">
        <f>IF(I329="Settled","",MAX(0,TODAY()-F329))</f>
        <v/>
      </c>
      <c r="H329" s="9">
        <f>IF(E329="","",TEXT(E329,"0.00")&amp;"|"&amp;IF(B329="Invoice","AR","AP"))</f>
        <v/>
      </c>
      <c r="I329" s="9">
        <f>IF(H329="","",IF(COUNTIF(Bank!$F:$F,H329)&gt;0,"Settled","Open"))</f>
        <v/>
      </c>
      <c r="J329" s="9">
        <f>IF(I329&lt;&gt;"Open","",IF(G329&lt;=0,"Current",IF(G329&lt;=30,"1-30",IF(G329&lt;=60,"31-60",IF(G329&lt;=90,"61-90","90+")))))</f>
        <v/>
      </c>
    </row>
    <row r="330">
      <c r="A330" s="8" t="n"/>
      <c r="B330" s="9" t="n"/>
      <c r="C330" s="9" t="n"/>
      <c r="D330" s="9" t="n"/>
      <c r="E330" s="10" t="n"/>
      <c r="F330" s="8" t="n"/>
      <c r="G330" s="9">
        <f>IF(I330="Settled","",MAX(0,TODAY()-F330))</f>
        <v/>
      </c>
      <c r="H330" s="9">
        <f>IF(E330="","",TEXT(E330,"0.00")&amp;"|"&amp;IF(B330="Invoice","AR","AP"))</f>
        <v/>
      </c>
      <c r="I330" s="9">
        <f>IF(H330="","",IF(COUNTIF(Bank!$F:$F,H330)&gt;0,"Settled","Open"))</f>
        <v/>
      </c>
      <c r="J330" s="9">
        <f>IF(I330&lt;&gt;"Open","",IF(G330&lt;=0,"Current",IF(G330&lt;=30,"1-30",IF(G330&lt;=60,"31-60",IF(G330&lt;=90,"61-90","90+")))))</f>
        <v/>
      </c>
    </row>
    <row r="331">
      <c r="A331" s="8" t="n"/>
      <c r="B331" s="9" t="n"/>
      <c r="C331" s="9" t="n"/>
      <c r="D331" s="9" t="n"/>
      <c r="E331" s="10" t="n"/>
      <c r="F331" s="8" t="n"/>
      <c r="G331" s="9">
        <f>IF(I331="Settled","",MAX(0,TODAY()-F331))</f>
        <v/>
      </c>
      <c r="H331" s="9">
        <f>IF(E331="","",TEXT(E331,"0.00")&amp;"|"&amp;IF(B331="Invoice","AR","AP"))</f>
        <v/>
      </c>
      <c r="I331" s="9">
        <f>IF(H331="","",IF(COUNTIF(Bank!$F:$F,H331)&gt;0,"Settled","Open"))</f>
        <v/>
      </c>
      <c r="J331" s="9">
        <f>IF(I331&lt;&gt;"Open","",IF(G331&lt;=0,"Current",IF(G331&lt;=30,"1-30",IF(G331&lt;=60,"31-60",IF(G331&lt;=90,"61-90","90+")))))</f>
        <v/>
      </c>
    </row>
    <row r="332">
      <c r="A332" s="8" t="n"/>
      <c r="B332" s="9" t="n"/>
      <c r="C332" s="9" t="n"/>
      <c r="D332" s="9" t="n"/>
      <c r="E332" s="10" t="n"/>
      <c r="F332" s="8" t="n"/>
      <c r="G332" s="9">
        <f>IF(I332="Settled","",MAX(0,TODAY()-F332))</f>
        <v/>
      </c>
      <c r="H332" s="9">
        <f>IF(E332="","",TEXT(E332,"0.00")&amp;"|"&amp;IF(B332="Invoice","AR","AP"))</f>
        <v/>
      </c>
      <c r="I332" s="9">
        <f>IF(H332="","",IF(COUNTIF(Bank!$F:$F,H332)&gt;0,"Settled","Open"))</f>
        <v/>
      </c>
      <c r="J332" s="9">
        <f>IF(I332&lt;&gt;"Open","",IF(G332&lt;=0,"Current",IF(G332&lt;=30,"1-30",IF(G332&lt;=60,"31-60",IF(G332&lt;=90,"61-90","90+")))))</f>
        <v/>
      </c>
    </row>
    <row r="333">
      <c r="A333" s="8" t="n"/>
      <c r="B333" s="9" t="n"/>
      <c r="C333" s="9" t="n"/>
      <c r="D333" s="9" t="n"/>
      <c r="E333" s="10" t="n"/>
      <c r="F333" s="8" t="n"/>
      <c r="G333" s="9">
        <f>IF(I333="Settled","",MAX(0,TODAY()-F333))</f>
        <v/>
      </c>
      <c r="H333" s="9">
        <f>IF(E333="","",TEXT(E333,"0.00")&amp;"|"&amp;IF(B333="Invoice","AR","AP"))</f>
        <v/>
      </c>
      <c r="I333" s="9">
        <f>IF(H333="","",IF(COUNTIF(Bank!$F:$F,H333)&gt;0,"Settled","Open"))</f>
        <v/>
      </c>
      <c r="J333" s="9">
        <f>IF(I333&lt;&gt;"Open","",IF(G333&lt;=0,"Current",IF(G333&lt;=30,"1-30",IF(G333&lt;=60,"31-60",IF(G333&lt;=90,"61-90","90+")))))</f>
        <v/>
      </c>
    </row>
    <row r="334">
      <c r="A334" s="8" t="n"/>
      <c r="B334" s="9" t="n"/>
      <c r="C334" s="9" t="n"/>
      <c r="D334" s="9" t="n"/>
      <c r="E334" s="10" t="n"/>
      <c r="F334" s="8" t="n"/>
      <c r="G334" s="9">
        <f>IF(I334="Settled","",MAX(0,TODAY()-F334))</f>
        <v/>
      </c>
      <c r="H334" s="9">
        <f>IF(E334="","",TEXT(E334,"0.00")&amp;"|"&amp;IF(B334="Invoice","AR","AP"))</f>
        <v/>
      </c>
      <c r="I334" s="9">
        <f>IF(H334="","",IF(COUNTIF(Bank!$F:$F,H334)&gt;0,"Settled","Open"))</f>
        <v/>
      </c>
      <c r="J334" s="9">
        <f>IF(I334&lt;&gt;"Open","",IF(G334&lt;=0,"Current",IF(G334&lt;=30,"1-30",IF(G334&lt;=60,"31-60",IF(G334&lt;=90,"61-90","90+")))))</f>
        <v/>
      </c>
    </row>
    <row r="335">
      <c r="A335" s="8" t="n"/>
      <c r="B335" s="9" t="n"/>
      <c r="C335" s="9" t="n"/>
      <c r="D335" s="9" t="n"/>
      <c r="E335" s="10" t="n"/>
      <c r="F335" s="8" t="n"/>
      <c r="G335" s="9">
        <f>IF(I335="Settled","",MAX(0,TODAY()-F335))</f>
        <v/>
      </c>
      <c r="H335" s="9">
        <f>IF(E335="","",TEXT(E335,"0.00")&amp;"|"&amp;IF(B335="Invoice","AR","AP"))</f>
        <v/>
      </c>
      <c r="I335" s="9">
        <f>IF(H335="","",IF(COUNTIF(Bank!$F:$F,H335)&gt;0,"Settled","Open"))</f>
        <v/>
      </c>
      <c r="J335" s="9">
        <f>IF(I335&lt;&gt;"Open","",IF(G335&lt;=0,"Current",IF(G335&lt;=30,"1-30",IF(G335&lt;=60,"31-60",IF(G335&lt;=90,"61-90","90+")))))</f>
        <v/>
      </c>
    </row>
    <row r="336">
      <c r="A336" s="8" t="n"/>
      <c r="B336" s="9" t="n"/>
      <c r="C336" s="9" t="n"/>
      <c r="D336" s="9" t="n"/>
      <c r="E336" s="10" t="n"/>
      <c r="F336" s="8" t="n"/>
      <c r="G336" s="9">
        <f>IF(I336="Settled","",MAX(0,TODAY()-F336))</f>
        <v/>
      </c>
      <c r="H336" s="9">
        <f>IF(E336="","",TEXT(E336,"0.00")&amp;"|"&amp;IF(B336="Invoice","AR","AP"))</f>
        <v/>
      </c>
      <c r="I336" s="9">
        <f>IF(H336="","",IF(COUNTIF(Bank!$F:$F,H336)&gt;0,"Settled","Open"))</f>
        <v/>
      </c>
      <c r="J336" s="9">
        <f>IF(I336&lt;&gt;"Open","",IF(G336&lt;=0,"Current",IF(G336&lt;=30,"1-30",IF(G336&lt;=60,"31-60",IF(G336&lt;=90,"61-90","90+")))))</f>
        <v/>
      </c>
    </row>
    <row r="337">
      <c r="A337" s="8" t="n"/>
      <c r="B337" s="9" t="n"/>
      <c r="C337" s="9" t="n"/>
      <c r="D337" s="9" t="n"/>
      <c r="E337" s="10" t="n"/>
      <c r="F337" s="8" t="n"/>
      <c r="G337" s="9">
        <f>IF(I337="Settled","",MAX(0,TODAY()-F337))</f>
        <v/>
      </c>
      <c r="H337" s="9">
        <f>IF(E337="","",TEXT(E337,"0.00")&amp;"|"&amp;IF(B337="Invoice","AR","AP"))</f>
        <v/>
      </c>
      <c r="I337" s="9">
        <f>IF(H337="","",IF(COUNTIF(Bank!$F:$F,H337)&gt;0,"Settled","Open"))</f>
        <v/>
      </c>
      <c r="J337" s="9">
        <f>IF(I337&lt;&gt;"Open","",IF(G337&lt;=0,"Current",IF(G337&lt;=30,"1-30",IF(G337&lt;=60,"31-60",IF(G337&lt;=90,"61-90","90+")))))</f>
        <v/>
      </c>
    </row>
    <row r="338">
      <c r="A338" s="8" t="n"/>
      <c r="B338" s="9" t="n"/>
      <c r="C338" s="9" t="n"/>
      <c r="D338" s="9" t="n"/>
      <c r="E338" s="10" t="n"/>
      <c r="F338" s="8" t="n"/>
      <c r="G338" s="9">
        <f>IF(I338="Settled","",MAX(0,TODAY()-F338))</f>
        <v/>
      </c>
      <c r="H338" s="9">
        <f>IF(E338="","",TEXT(E338,"0.00")&amp;"|"&amp;IF(B338="Invoice","AR","AP"))</f>
        <v/>
      </c>
      <c r="I338" s="9">
        <f>IF(H338="","",IF(COUNTIF(Bank!$F:$F,H338)&gt;0,"Settled","Open"))</f>
        <v/>
      </c>
      <c r="J338" s="9">
        <f>IF(I338&lt;&gt;"Open","",IF(G338&lt;=0,"Current",IF(G338&lt;=30,"1-30",IF(G338&lt;=60,"31-60",IF(G338&lt;=90,"61-90","90+")))))</f>
        <v/>
      </c>
    </row>
    <row r="339">
      <c r="A339" s="8" t="n"/>
      <c r="B339" s="9" t="n"/>
      <c r="C339" s="9" t="n"/>
      <c r="D339" s="9" t="n"/>
      <c r="E339" s="10" t="n"/>
      <c r="F339" s="8" t="n"/>
      <c r="G339" s="9">
        <f>IF(I339="Settled","",MAX(0,TODAY()-F339))</f>
        <v/>
      </c>
      <c r="H339" s="9">
        <f>IF(E339="","",TEXT(E339,"0.00")&amp;"|"&amp;IF(B339="Invoice","AR","AP"))</f>
        <v/>
      </c>
      <c r="I339" s="9">
        <f>IF(H339="","",IF(COUNTIF(Bank!$F:$F,H339)&gt;0,"Settled","Open"))</f>
        <v/>
      </c>
      <c r="J339" s="9">
        <f>IF(I339&lt;&gt;"Open","",IF(G339&lt;=0,"Current",IF(G339&lt;=30,"1-30",IF(G339&lt;=60,"31-60",IF(G339&lt;=90,"61-90","90+")))))</f>
        <v/>
      </c>
    </row>
    <row r="340">
      <c r="A340" s="8" t="n"/>
      <c r="B340" s="9" t="n"/>
      <c r="C340" s="9" t="n"/>
      <c r="D340" s="9" t="n"/>
      <c r="E340" s="10" t="n"/>
      <c r="F340" s="8" t="n"/>
      <c r="G340" s="9">
        <f>IF(I340="Settled","",MAX(0,TODAY()-F340))</f>
        <v/>
      </c>
      <c r="H340" s="9">
        <f>IF(E340="","",TEXT(E340,"0.00")&amp;"|"&amp;IF(B340="Invoice","AR","AP"))</f>
        <v/>
      </c>
      <c r="I340" s="9">
        <f>IF(H340="","",IF(COUNTIF(Bank!$F:$F,H340)&gt;0,"Settled","Open"))</f>
        <v/>
      </c>
      <c r="J340" s="9">
        <f>IF(I340&lt;&gt;"Open","",IF(G340&lt;=0,"Current",IF(G340&lt;=30,"1-30",IF(G340&lt;=60,"31-60",IF(G340&lt;=90,"61-90","90+")))))</f>
        <v/>
      </c>
    </row>
    <row r="341">
      <c r="A341" s="8" t="n"/>
      <c r="B341" s="9" t="n"/>
      <c r="C341" s="9" t="n"/>
      <c r="D341" s="9" t="n"/>
      <c r="E341" s="10" t="n"/>
      <c r="F341" s="8" t="n"/>
      <c r="G341" s="9">
        <f>IF(I341="Settled","",MAX(0,TODAY()-F341))</f>
        <v/>
      </c>
      <c r="H341" s="9">
        <f>IF(E341="","",TEXT(E341,"0.00")&amp;"|"&amp;IF(B341="Invoice","AR","AP"))</f>
        <v/>
      </c>
      <c r="I341" s="9">
        <f>IF(H341="","",IF(COUNTIF(Bank!$F:$F,H341)&gt;0,"Settled","Open"))</f>
        <v/>
      </c>
      <c r="J341" s="9">
        <f>IF(I341&lt;&gt;"Open","",IF(G341&lt;=0,"Current",IF(G341&lt;=30,"1-30",IF(G341&lt;=60,"31-60",IF(G341&lt;=90,"61-90","90+")))))</f>
        <v/>
      </c>
    </row>
    <row r="342">
      <c r="A342" s="8" t="n"/>
      <c r="B342" s="9" t="n"/>
      <c r="C342" s="9" t="n"/>
      <c r="D342" s="9" t="n"/>
      <c r="E342" s="10" t="n"/>
      <c r="F342" s="8" t="n"/>
      <c r="G342" s="9">
        <f>IF(I342="Settled","",MAX(0,TODAY()-F342))</f>
        <v/>
      </c>
      <c r="H342" s="9">
        <f>IF(E342="","",TEXT(E342,"0.00")&amp;"|"&amp;IF(B342="Invoice","AR","AP"))</f>
        <v/>
      </c>
      <c r="I342" s="9">
        <f>IF(H342="","",IF(COUNTIF(Bank!$F:$F,H342)&gt;0,"Settled","Open"))</f>
        <v/>
      </c>
      <c r="J342" s="9">
        <f>IF(I342&lt;&gt;"Open","",IF(G342&lt;=0,"Current",IF(G342&lt;=30,"1-30",IF(G342&lt;=60,"31-60",IF(G342&lt;=90,"61-90","90+")))))</f>
        <v/>
      </c>
    </row>
    <row r="343">
      <c r="A343" s="8" t="n"/>
      <c r="B343" s="9" t="n"/>
      <c r="C343" s="9" t="n"/>
      <c r="D343" s="9" t="n"/>
      <c r="E343" s="10" t="n"/>
      <c r="F343" s="8" t="n"/>
      <c r="G343" s="9">
        <f>IF(I343="Settled","",MAX(0,TODAY()-F343))</f>
        <v/>
      </c>
      <c r="H343" s="9">
        <f>IF(E343="","",TEXT(E343,"0.00")&amp;"|"&amp;IF(B343="Invoice","AR","AP"))</f>
        <v/>
      </c>
      <c r="I343" s="9">
        <f>IF(H343="","",IF(COUNTIF(Bank!$F:$F,H343)&gt;0,"Settled","Open"))</f>
        <v/>
      </c>
      <c r="J343" s="9">
        <f>IF(I343&lt;&gt;"Open","",IF(G343&lt;=0,"Current",IF(G343&lt;=30,"1-30",IF(G343&lt;=60,"31-60",IF(G343&lt;=90,"61-90","90+")))))</f>
        <v/>
      </c>
    </row>
    <row r="344">
      <c r="A344" s="8" t="n"/>
      <c r="B344" s="9" t="n"/>
      <c r="C344" s="9" t="n"/>
      <c r="D344" s="9" t="n"/>
      <c r="E344" s="10" t="n"/>
      <c r="F344" s="8" t="n"/>
      <c r="G344" s="9">
        <f>IF(I344="Settled","",MAX(0,TODAY()-F344))</f>
        <v/>
      </c>
      <c r="H344" s="9">
        <f>IF(E344="","",TEXT(E344,"0.00")&amp;"|"&amp;IF(B344="Invoice","AR","AP"))</f>
        <v/>
      </c>
      <c r="I344" s="9">
        <f>IF(H344="","",IF(COUNTIF(Bank!$F:$F,H344)&gt;0,"Settled","Open"))</f>
        <v/>
      </c>
      <c r="J344" s="9">
        <f>IF(I344&lt;&gt;"Open","",IF(G344&lt;=0,"Current",IF(G344&lt;=30,"1-30",IF(G344&lt;=60,"31-60",IF(G344&lt;=90,"61-90","90+")))))</f>
        <v/>
      </c>
    </row>
    <row r="345">
      <c r="A345" s="8" t="n"/>
      <c r="B345" s="9" t="n"/>
      <c r="C345" s="9" t="n"/>
      <c r="D345" s="9" t="n"/>
      <c r="E345" s="10" t="n"/>
      <c r="F345" s="8" t="n"/>
      <c r="G345" s="9">
        <f>IF(I345="Settled","",MAX(0,TODAY()-F345))</f>
        <v/>
      </c>
      <c r="H345" s="9">
        <f>IF(E345="","",TEXT(E345,"0.00")&amp;"|"&amp;IF(B345="Invoice","AR","AP"))</f>
        <v/>
      </c>
      <c r="I345" s="9">
        <f>IF(H345="","",IF(COUNTIF(Bank!$F:$F,H345)&gt;0,"Settled","Open"))</f>
        <v/>
      </c>
      <c r="J345" s="9">
        <f>IF(I345&lt;&gt;"Open","",IF(G345&lt;=0,"Current",IF(G345&lt;=30,"1-30",IF(G345&lt;=60,"31-60",IF(G345&lt;=90,"61-90","90+")))))</f>
        <v/>
      </c>
    </row>
    <row r="346">
      <c r="A346" s="8" t="n"/>
      <c r="B346" s="9" t="n"/>
      <c r="C346" s="9" t="n"/>
      <c r="D346" s="9" t="n"/>
      <c r="E346" s="10" t="n"/>
      <c r="F346" s="8" t="n"/>
      <c r="G346" s="9">
        <f>IF(I346="Settled","",MAX(0,TODAY()-F346))</f>
        <v/>
      </c>
      <c r="H346" s="9">
        <f>IF(E346="","",TEXT(E346,"0.00")&amp;"|"&amp;IF(B346="Invoice","AR","AP"))</f>
        <v/>
      </c>
      <c r="I346" s="9">
        <f>IF(H346="","",IF(COUNTIF(Bank!$F:$F,H346)&gt;0,"Settled","Open"))</f>
        <v/>
      </c>
      <c r="J346" s="9">
        <f>IF(I346&lt;&gt;"Open","",IF(G346&lt;=0,"Current",IF(G346&lt;=30,"1-30",IF(G346&lt;=60,"31-60",IF(G346&lt;=90,"61-90","90+")))))</f>
        <v/>
      </c>
    </row>
    <row r="347">
      <c r="A347" s="8" t="n"/>
      <c r="B347" s="9" t="n"/>
      <c r="C347" s="9" t="n"/>
      <c r="D347" s="9" t="n"/>
      <c r="E347" s="10" t="n"/>
      <c r="F347" s="8" t="n"/>
      <c r="G347" s="9">
        <f>IF(I347="Settled","",MAX(0,TODAY()-F347))</f>
        <v/>
      </c>
      <c r="H347" s="9">
        <f>IF(E347="","",TEXT(E347,"0.00")&amp;"|"&amp;IF(B347="Invoice","AR","AP"))</f>
        <v/>
      </c>
      <c r="I347" s="9">
        <f>IF(H347="","",IF(COUNTIF(Bank!$F:$F,H347)&gt;0,"Settled","Open"))</f>
        <v/>
      </c>
      <c r="J347" s="9">
        <f>IF(I347&lt;&gt;"Open","",IF(G347&lt;=0,"Current",IF(G347&lt;=30,"1-30",IF(G347&lt;=60,"31-60",IF(G347&lt;=90,"61-90","90+")))))</f>
        <v/>
      </c>
    </row>
    <row r="348">
      <c r="A348" s="8" t="n"/>
      <c r="B348" s="9" t="n"/>
      <c r="C348" s="9" t="n"/>
      <c r="D348" s="9" t="n"/>
      <c r="E348" s="10" t="n"/>
      <c r="F348" s="8" t="n"/>
      <c r="G348" s="9">
        <f>IF(I348="Settled","",MAX(0,TODAY()-F348))</f>
        <v/>
      </c>
      <c r="H348" s="9">
        <f>IF(E348="","",TEXT(E348,"0.00")&amp;"|"&amp;IF(B348="Invoice","AR","AP"))</f>
        <v/>
      </c>
      <c r="I348" s="9">
        <f>IF(H348="","",IF(COUNTIF(Bank!$F:$F,H348)&gt;0,"Settled","Open"))</f>
        <v/>
      </c>
      <c r="J348" s="9">
        <f>IF(I348&lt;&gt;"Open","",IF(G348&lt;=0,"Current",IF(G348&lt;=30,"1-30",IF(G348&lt;=60,"31-60",IF(G348&lt;=90,"61-90","90+")))))</f>
        <v/>
      </c>
    </row>
    <row r="349">
      <c r="A349" s="8" t="n"/>
      <c r="B349" s="9" t="n"/>
      <c r="C349" s="9" t="n"/>
      <c r="D349" s="9" t="n"/>
      <c r="E349" s="10" t="n"/>
      <c r="F349" s="8" t="n"/>
      <c r="G349" s="9">
        <f>IF(I349="Settled","",MAX(0,TODAY()-F349))</f>
        <v/>
      </c>
      <c r="H349" s="9">
        <f>IF(E349="","",TEXT(E349,"0.00")&amp;"|"&amp;IF(B349="Invoice","AR","AP"))</f>
        <v/>
      </c>
      <c r="I349" s="9">
        <f>IF(H349="","",IF(COUNTIF(Bank!$F:$F,H349)&gt;0,"Settled","Open"))</f>
        <v/>
      </c>
      <c r="J349" s="9">
        <f>IF(I349&lt;&gt;"Open","",IF(G349&lt;=0,"Current",IF(G349&lt;=30,"1-30",IF(G349&lt;=60,"31-60",IF(G349&lt;=90,"61-90","90+")))))</f>
        <v/>
      </c>
    </row>
    <row r="350">
      <c r="A350" s="8" t="n"/>
      <c r="B350" s="9" t="n"/>
      <c r="C350" s="9" t="n"/>
      <c r="D350" s="9" t="n"/>
      <c r="E350" s="10" t="n"/>
      <c r="F350" s="8" t="n"/>
      <c r="G350" s="9">
        <f>IF(I350="Settled","",MAX(0,TODAY()-F350))</f>
        <v/>
      </c>
      <c r="H350" s="9">
        <f>IF(E350="","",TEXT(E350,"0.00")&amp;"|"&amp;IF(B350="Invoice","AR","AP"))</f>
        <v/>
      </c>
      <c r="I350" s="9">
        <f>IF(H350="","",IF(COUNTIF(Bank!$F:$F,H350)&gt;0,"Settled","Open"))</f>
        <v/>
      </c>
      <c r="J350" s="9">
        <f>IF(I350&lt;&gt;"Open","",IF(G350&lt;=0,"Current",IF(G350&lt;=30,"1-30",IF(G350&lt;=60,"31-60",IF(G350&lt;=90,"61-90","90+")))))</f>
        <v/>
      </c>
    </row>
    <row r="351">
      <c r="A351" s="8" t="n"/>
      <c r="B351" s="9" t="n"/>
      <c r="C351" s="9" t="n"/>
      <c r="D351" s="9" t="n"/>
      <c r="E351" s="10" t="n"/>
      <c r="F351" s="8" t="n"/>
      <c r="G351" s="9">
        <f>IF(I351="Settled","",MAX(0,TODAY()-F351))</f>
        <v/>
      </c>
      <c r="H351" s="9">
        <f>IF(E351="","",TEXT(E351,"0.00")&amp;"|"&amp;IF(B351="Invoice","AR","AP"))</f>
        <v/>
      </c>
      <c r="I351" s="9">
        <f>IF(H351="","",IF(COUNTIF(Bank!$F:$F,H351)&gt;0,"Settled","Open"))</f>
        <v/>
      </c>
      <c r="J351" s="9">
        <f>IF(I351&lt;&gt;"Open","",IF(G351&lt;=0,"Current",IF(G351&lt;=30,"1-30",IF(G351&lt;=60,"31-60",IF(G351&lt;=90,"61-90","90+")))))</f>
        <v/>
      </c>
    </row>
    <row r="352">
      <c r="A352" s="8" t="n"/>
      <c r="B352" s="9" t="n"/>
      <c r="C352" s="9" t="n"/>
      <c r="D352" s="9" t="n"/>
      <c r="E352" s="10" t="n"/>
      <c r="F352" s="8" t="n"/>
      <c r="G352" s="9">
        <f>IF(I352="Settled","",MAX(0,TODAY()-F352))</f>
        <v/>
      </c>
      <c r="H352" s="9">
        <f>IF(E352="","",TEXT(E352,"0.00")&amp;"|"&amp;IF(B352="Invoice","AR","AP"))</f>
        <v/>
      </c>
      <c r="I352" s="9">
        <f>IF(H352="","",IF(COUNTIF(Bank!$F:$F,H352)&gt;0,"Settled","Open"))</f>
        <v/>
      </c>
      <c r="J352" s="9">
        <f>IF(I352&lt;&gt;"Open","",IF(G352&lt;=0,"Current",IF(G352&lt;=30,"1-30",IF(G352&lt;=60,"31-60",IF(G352&lt;=90,"61-90","90+")))))</f>
        <v/>
      </c>
    </row>
    <row r="353">
      <c r="A353" s="8" t="n"/>
      <c r="B353" s="9" t="n"/>
      <c r="C353" s="9" t="n"/>
      <c r="D353" s="9" t="n"/>
      <c r="E353" s="10" t="n"/>
      <c r="F353" s="8" t="n"/>
      <c r="G353" s="9">
        <f>IF(I353="Settled","",MAX(0,TODAY()-F353))</f>
        <v/>
      </c>
      <c r="H353" s="9">
        <f>IF(E353="","",TEXT(E353,"0.00")&amp;"|"&amp;IF(B353="Invoice","AR","AP"))</f>
        <v/>
      </c>
      <c r="I353" s="9">
        <f>IF(H353="","",IF(COUNTIF(Bank!$F:$F,H353)&gt;0,"Settled","Open"))</f>
        <v/>
      </c>
      <c r="J353" s="9">
        <f>IF(I353&lt;&gt;"Open","",IF(G353&lt;=0,"Current",IF(G353&lt;=30,"1-30",IF(G353&lt;=60,"31-60",IF(G353&lt;=90,"61-90","90+")))))</f>
        <v/>
      </c>
    </row>
    <row r="354">
      <c r="A354" s="8" t="n"/>
      <c r="B354" s="9" t="n"/>
      <c r="C354" s="9" t="n"/>
      <c r="D354" s="9" t="n"/>
      <c r="E354" s="10" t="n"/>
      <c r="F354" s="8" t="n"/>
      <c r="G354" s="9">
        <f>IF(I354="Settled","",MAX(0,TODAY()-F354))</f>
        <v/>
      </c>
      <c r="H354" s="9">
        <f>IF(E354="","",TEXT(E354,"0.00")&amp;"|"&amp;IF(B354="Invoice","AR","AP"))</f>
        <v/>
      </c>
      <c r="I354" s="9">
        <f>IF(H354="","",IF(COUNTIF(Bank!$F:$F,H354)&gt;0,"Settled","Open"))</f>
        <v/>
      </c>
      <c r="J354" s="9">
        <f>IF(I354&lt;&gt;"Open","",IF(G354&lt;=0,"Current",IF(G354&lt;=30,"1-30",IF(G354&lt;=60,"31-60",IF(G354&lt;=90,"61-90","90+")))))</f>
        <v/>
      </c>
    </row>
    <row r="355">
      <c r="A355" s="8" t="n"/>
      <c r="B355" s="9" t="n"/>
      <c r="C355" s="9" t="n"/>
      <c r="D355" s="9" t="n"/>
      <c r="E355" s="10" t="n"/>
      <c r="F355" s="8" t="n"/>
      <c r="G355" s="9">
        <f>IF(I355="Settled","",MAX(0,TODAY()-F355))</f>
        <v/>
      </c>
      <c r="H355" s="9">
        <f>IF(E355="","",TEXT(E355,"0.00")&amp;"|"&amp;IF(B355="Invoice","AR","AP"))</f>
        <v/>
      </c>
      <c r="I355" s="9">
        <f>IF(H355="","",IF(COUNTIF(Bank!$F:$F,H355)&gt;0,"Settled","Open"))</f>
        <v/>
      </c>
      <c r="J355" s="9">
        <f>IF(I355&lt;&gt;"Open","",IF(G355&lt;=0,"Current",IF(G355&lt;=30,"1-30",IF(G355&lt;=60,"31-60",IF(G355&lt;=90,"61-90","90+")))))</f>
        <v/>
      </c>
    </row>
    <row r="356">
      <c r="A356" s="8" t="n"/>
      <c r="B356" s="9" t="n"/>
      <c r="C356" s="9" t="n"/>
      <c r="D356" s="9" t="n"/>
      <c r="E356" s="10" t="n"/>
      <c r="F356" s="8" t="n"/>
      <c r="G356" s="9">
        <f>IF(I356="Settled","",MAX(0,TODAY()-F356))</f>
        <v/>
      </c>
      <c r="H356" s="9">
        <f>IF(E356="","",TEXT(E356,"0.00")&amp;"|"&amp;IF(B356="Invoice","AR","AP"))</f>
        <v/>
      </c>
      <c r="I356" s="9">
        <f>IF(H356="","",IF(COUNTIF(Bank!$F:$F,H356)&gt;0,"Settled","Open"))</f>
        <v/>
      </c>
      <c r="J356" s="9">
        <f>IF(I356&lt;&gt;"Open","",IF(G356&lt;=0,"Current",IF(G356&lt;=30,"1-30",IF(G356&lt;=60,"31-60",IF(G356&lt;=90,"61-90","90+")))))</f>
        <v/>
      </c>
    </row>
    <row r="357">
      <c r="A357" s="8" t="n"/>
      <c r="B357" s="9" t="n"/>
      <c r="C357" s="9" t="n"/>
      <c r="D357" s="9" t="n"/>
      <c r="E357" s="10" t="n"/>
      <c r="F357" s="8" t="n"/>
      <c r="G357" s="9">
        <f>IF(I357="Settled","",MAX(0,TODAY()-F357))</f>
        <v/>
      </c>
      <c r="H357" s="9">
        <f>IF(E357="","",TEXT(E357,"0.00")&amp;"|"&amp;IF(B357="Invoice","AR","AP"))</f>
        <v/>
      </c>
      <c r="I357" s="9">
        <f>IF(H357="","",IF(COUNTIF(Bank!$F:$F,H357)&gt;0,"Settled","Open"))</f>
        <v/>
      </c>
      <c r="J357" s="9">
        <f>IF(I357&lt;&gt;"Open","",IF(G357&lt;=0,"Current",IF(G357&lt;=30,"1-30",IF(G357&lt;=60,"31-60",IF(G357&lt;=90,"61-90","90+")))))</f>
        <v/>
      </c>
    </row>
    <row r="358">
      <c r="A358" s="8" t="n"/>
      <c r="B358" s="9" t="n"/>
      <c r="C358" s="9" t="n"/>
      <c r="D358" s="9" t="n"/>
      <c r="E358" s="10" t="n"/>
      <c r="F358" s="8" t="n"/>
      <c r="G358" s="9">
        <f>IF(I358="Settled","",MAX(0,TODAY()-F358))</f>
        <v/>
      </c>
      <c r="H358" s="9">
        <f>IF(E358="","",TEXT(E358,"0.00")&amp;"|"&amp;IF(B358="Invoice","AR","AP"))</f>
        <v/>
      </c>
      <c r="I358" s="9">
        <f>IF(H358="","",IF(COUNTIF(Bank!$F:$F,H358)&gt;0,"Settled","Open"))</f>
        <v/>
      </c>
      <c r="J358" s="9">
        <f>IF(I358&lt;&gt;"Open","",IF(G358&lt;=0,"Current",IF(G358&lt;=30,"1-30",IF(G358&lt;=60,"31-60",IF(G358&lt;=90,"61-90","90+")))))</f>
        <v/>
      </c>
    </row>
    <row r="359">
      <c r="A359" s="8" t="n"/>
      <c r="B359" s="9" t="n"/>
      <c r="C359" s="9" t="n"/>
      <c r="D359" s="9" t="n"/>
      <c r="E359" s="10" t="n"/>
      <c r="F359" s="8" t="n"/>
      <c r="G359" s="9">
        <f>IF(I359="Settled","",MAX(0,TODAY()-F359))</f>
        <v/>
      </c>
      <c r="H359" s="9">
        <f>IF(E359="","",TEXT(E359,"0.00")&amp;"|"&amp;IF(B359="Invoice","AR","AP"))</f>
        <v/>
      </c>
      <c r="I359" s="9">
        <f>IF(H359="","",IF(COUNTIF(Bank!$F:$F,H359)&gt;0,"Settled","Open"))</f>
        <v/>
      </c>
      <c r="J359" s="9">
        <f>IF(I359&lt;&gt;"Open","",IF(G359&lt;=0,"Current",IF(G359&lt;=30,"1-30",IF(G359&lt;=60,"31-60",IF(G359&lt;=90,"61-90","90+")))))</f>
        <v/>
      </c>
    </row>
    <row r="360">
      <c r="A360" s="8" t="n"/>
      <c r="B360" s="9" t="n"/>
      <c r="C360" s="9" t="n"/>
      <c r="D360" s="9" t="n"/>
      <c r="E360" s="10" t="n"/>
      <c r="F360" s="8" t="n"/>
      <c r="G360" s="9">
        <f>IF(I360="Settled","",MAX(0,TODAY()-F360))</f>
        <v/>
      </c>
      <c r="H360" s="9">
        <f>IF(E360="","",TEXT(E360,"0.00")&amp;"|"&amp;IF(B360="Invoice","AR","AP"))</f>
        <v/>
      </c>
      <c r="I360" s="9">
        <f>IF(H360="","",IF(COUNTIF(Bank!$F:$F,H360)&gt;0,"Settled","Open"))</f>
        <v/>
      </c>
      <c r="J360" s="9">
        <f>IF(I360&lt;&gt;"Open","",IF(G360&lt;=0,"Current",IF(G360&lt;=30,"1-30",IF(G360&lt;=60,"31-60",IF(G360&lt;=90,"61-90","90+")))))</f>
        <v/>
      </c>
    </row>
    <row r="361">
      <c r="A361" s="8" t="n"/>
      <c r="B361" s="9" t="n"/>
      <c r="C361" s="9" t="n"/>
      <c r="D361" s="9" t="n"/>
      <c r="E361" s="10" t="n"/>
      <c r="F361" s="8" t="n"/>
      <c r="G361" s="9">
        <f>IF(I361="Settled","",MAX(0,TODAY()-F361))</f>
        <v/>
      </c>
      <c r="H361" s="9">
        <f>IF(E361="","",TEXT(E361,"0.00")&amp;"|"&amp;IF(B361="Invoice","AR","AP"))</f>
        <v/>
      </c>
      <c r="I361" s="9">
        <f>IF(H361="","",IF(COUNTIF(Bank!$F:$F,H361)&gt;0,"Settled","Open"))</f>
        <v/>
      </c>
      <c r="J361" s="9">
        <f>IF(I361&lt;&gt;"Open","",IF(G361&lt;=0,"Current",IF(G361&lt;=30,"1-30",IF(G361&lt;=60,"31-60",IF(G361&lt;=90,"61-90","90+")))))</f>
        <v/>
      </c>
    </row>
    <row r="362">
      <c r="A362" s="8" t="n"/>
      <c r="B362" s="9" t="n"/>
      <c r="C362" s="9" t="n"/>
      <c r="D362" s="9" t="n"/>
      <c r="E362" s="10" t="n"/>
      <c r="F362" s="8" t="n"/>
      <c r="G362" s="9">
        <f>IF(I362="Settled","",MAX(0,TODAY()-F362))</f>
        <v/>
      </c>
      <c r="H362" s="9">
        <f>IF(E362="","",TEXT(E362,"0.00")&amp;"|"&amp;IF(B362="Invoice","AR","AP"))</f>
        <v/>
      </c>
      <c r="I362" s="9">
        <f>IF(H362="","",IF(COUNTIF(Bank!$F:$F,H362)&gt;0,"Settled","Open"))</f>
        <v/>
      </c>
      <c r="J362" s="9">
        <f>IF(I362&lt;&gt;"Open","",IF(G362&lt;=0,"Current",IF(G362&lt;=30,"1-30",IF(G362&lt;=60,"31-60",IF(G362&lt;=90,"61-90","90+")))))</f>
        <v/>
      </c>
    </row>
    <row r="363">
      <c r="A363" s="8" t="n"/>
      <c r="B363" s="9" t="n"/>
      <c r="C363" s="9" t="n"/>
      <c r="D363" s="9" t="n"/>
      <c r="E363" s="10" t="n"/>
      <c r="F363" s="8" t="n"/>
      <c r="G363" s="9">
        <f>IF(I363="Settled","",MAX(0,TODAY()-F363))</f>
        <v/>
      </c>
      <c r="H363" s="9">
        <f>IF(E363="","",TEXT(E363,"0.00")&amp;"|"&amp;IF(B363="Invoice","AR","AP"))</f>
        <v/>
      </c>
      <c r="I363" s="9">
        <f>IF(H363="","",IF(COUNTIF(Bank!$F:$F,H363)&gt;0,"Settled","Open"))</f>
        <v/>
      </c>
      <c r="J363" s="9">
        <f>IF(I363&lt;&gt;"Open","",IF(G363&lt;=0,"Current",IF(G363&lt;=30,"1-30",IF(G363&lt;=60,"31-60",IF(G363&lt;=90,"61-90","90+")))))</f>
        <v/>
      </c>
    </row>
    <row r="364">
      <c r="A364" s="8" t="n"/>
      <c r="B364" s="9" t="n"/>
      <c r="C364" s="9" t="n"/>
      <c r="D364" s="9" t="n"/>
      <c r="E364" s="10" t="n"/>
      <c r="F364" s="8" t="n"/>
      <c r="G364" s="9">
        <f>IF(I364="Settled","",MAX(0,TODAY()-F364))</f>
        <v/>
      </c>
      <c r="H364" s="9">
        <f>IF(E364="","",TEXT(E364,"0.00")&amp;"|"&amp;IF(B364="Invoice","AR","AP"))</f>
        <v/>
      </c>
      <c r="I364" s="9">
        <f>IF(H364="","",IF(COUNTIF(Bank!$F:$F,H364)&gt;0,"Settled","Open"))</f>
        <v/>
      </c>
      <c r="J364" s="9">
        <f>IF(I364&lt;&gt;"Open","",IF(G364&lt;=0,"Current",IF(G364&lt;=30,"1-30",IF(G364&lt;=60,"31-60",IF(G364&lt;=90,"61-90","90+")))))</f>
        <v/>
      </c>
    </row>
    <row r="365">
      <c r="A365" s="8" t="n"/>
      <c r="B365" s="9" t="n"/>
      <c r="C365" s="9" t="n"/>
      <c r="D365" s="9" t="n"/>
      <c r="E365" s="10" t="n"/>
      <c r="F365" s="8" t="n"/>
      <c r="G365" s="9">
        <f>IF(I365="Settled","",MAX(0,TODAY()-F365))</f>
        <v/>
      </c>
      <c r="H365" s="9">
        <f>IF(E365="","",TEXT(E365,"0.00")&amp;"|"&amp;IF(B365="Invoice","AR","AP"))</f>
        <v/>
      </c>
      <c r="I365" s="9">
        <f>IF(H365="","",IF(COUNTIF(Bank!$F:$F,H365)&gt;0,"Settled","Open"))</f>
        <v/>
      </c>
      <c r="J365" s="9">
        <f>IF(I365&lt;&gt;"Open","",IF(G365&lt;=0,"Current",IF(G365&lt;=30,"1-30",IF(G365&lt;=60,"31-60",IF(G365&lt;=90,"61-90","90+")))))</f>
        <v/>
      </c>
    </row>
    <row r="366">
      <c r="A366" s="8" t="n"/>
      <c r="B366" s="9" t="n"/>
      <c r="C366" s="9" t="n"/>
      <c r="D366" s="9" t="n"/>
      <c r="E366" s="10" t="n"/>
      <c r="F366" s="8" t="n"/>
      <c r="G366" s="9">
        <f>IF(I366="Settled","",MAX(0,TODAY()-F366))</f>
        <v/>
      </c>
      <c r="H366" s="9">
        <f>IF(E366="","",TEXT(E366,"0.00")&amp;"|"&amp;IF(B366="Invoice","AR","AP"))</f>
        <v/>
      </c>
      <c r="I366" s="9">
        <f>IF(H366="","",IF(COUNTIF(Bank!$F:$F,H366)&gt;0,"Settled","Open"))</f>
        <v/>
      </c>
      <c r="J366" s="9">
        <f>IF(I366&lt;&gt;"Open","",IF(G366&lt;=0,"Current",IF(G366&lt;=30,"1-30",IF(G366&lt;=60,"31-60",IF(G366&lt;=90,"61-90","90+")))))</f>
        <v/>
      </c>
    </row>
    <row r="367">
      <c r="A367" s="8" t="n"/>
      <c r="B367" s="9" t="n"/>
      <c r="C367" s="9" t="n"/>
      <c r="D367" s="9" t="n"/>
      <c r="E367" s="10" t="n"/>
      <c r="F367" s="8" t="n"/>
      <c r="G367" s="9">
        <f>IF(I367="Settled","",MAX(0,TODAY()-F367))</f>
        <v/>
      </c>
      <c r="H367" s="9">
        <f>IF(E367="","",TEXT(E367,"0.00")&amp;"|"&amp;IF(B367="Invoice","AR","AP"))</f>
        <v/>
      </c>
      <c r="I367" s="9">
        <f>IF(H367="","",IF(COUNTIF(Bank!$F:$F,H367)&gt;0,"Settled","Open"))</f>
        <v/>
      </c>
      <c r="J367" s="9">
        <f>IF(I367&lt;&gt;"Open","",IF(G367&lt;=0,"Current",IF(G367&lt;=30,"1-30",IF(G367&lt;=60,"31-60",IF(G367&lt;=90,"61-90","90+")))))</f>
        <v/>
      </c>
    </row>
    <row r="368">
      <c r="A368" s="8" t="n"/>
      <c r="B368" s="9" t="n"/>
      <c r="C368" s="9" t="n"/>
      <c r="D368" s="9" t="n"/>
      <c r="E368" s="10" t="n"/>
      <c r="F368" s="8" t="n"/>
      <c r="G368" s="9">
        <f>IF(I368="Settled","",MAX(0,TODAY()-F368))</f>
        <v/>
      </c>
      <c r="H368" s="9">
        <f>IF(E368="","",TEXT(E368,"0.00")&amp;"|"&amp;IF(B368="Invoice","AR","AP"))</f>
        <v/>
      </c>
      <c r="I368" s="9">
        <f>IF(H368="","",IF(COUNTIF(Bank!$F:$F,H368)&gt;0,"Settled","Open"))</f>
        <v/>
      </c>
      <c r="J368" s="9">
        <f>IF(I368&lt;&gt;"Open","",IF(G368&lt;=0,"Current",IF(G368&lt;=30,"1-30",IF(G368&lt;=60,"31-60",IF(G368&lt;=90,"61-90","90+")))))</f>
        <v/>
      </c>
    </row>
    <row r="369">
      <c r="A369" s="8" t="n"/>
      <c r="B369" s="9" t="n"/>
      <c r="C369" s="9" t="n"/>
      <c r="D369" s="9" t="n"/>
      <c r="E369" s="10" t="n"/>
      <c r="F369" s="8" t="n"/>
      <c r="G369" s="9">
        <f>IF(I369="Settled","",MAX(0,TODAY()-F369))</f>
        <v/>
      </c>
      <c r="H369" s="9">
        <f>IF(E369="","",TEXT(E369,"0.00")&amp;"|"&amp;IF(B369="Invoice","AR","AP"))</f>
        <v/>
      </c>
      <c r="I369" s="9">
        <f>IF(H369="","",IF(COUNTIF(Bank!$F:$F,H369)&gt;0,"Settled","Open"))</f>
        <v/>
      </c>
      <c r="J369" s="9">
        <f>IF(I369&lt;&gt;"Open","",IF(G369&lt;=0,"Current",IF(G369&lt;=30,"1-30",IF(G369&lt;=60,"31-60",IF(G369&lt;=90,"61-90","90+")))))</f>
        <v/>
      </c>
    </row>
    <row r="370">
      <c r="A370" s="8" t="n"/>
      <c r="B370" s="9" t="n"/>
      <c r="C370" s="9" t="n"/>
      <c r="D370" s="9" t="n"/>
      <c r="E370" s="10" t="n"/>
      <c r="F370" s="8" t="n"/>
      <c r="G370" s="9">
        <f>IF(I370="Settled","",MAX(0,TODAY()-F370))</f>
        <v/>
      </c>
      <c r="H370" s="9">
        <f>IF(E370="","",TEXT(E370,"0.00")&amp;"|"&amp;IF(B370="Invoice","AR","AP"))</f>
        <v/>
      </c>
      <c r="I370" s="9">
        <f>IF(H370="","",IF(COUNTIF(Bank!$F:$F,H370)&gt;0,"Settled","Open"))</f>
        <v/>
      </c>
      <c r="J370" s="9">
        <f>IF(I370&lt;&gt;"Open","",IF(G370&lt;=0,"Current",IF(G370&lt;=30,"1-30",IF(G370&lt;=60,"31-60",IF(G370&lt;=90,"61-90","90+")))))</f>
        <v/>
      </c>
    </row>
    <row r="371">
      <c r="A371" s="8" t="n"/>
      <c r="B371" s="9" t="n"/>
      <c r="C371" s="9" t="n"/>
      <c r="D371" s="9" t="n"/>
      <c r="E371" s="10" t="n"/>
      <c r="F371" s="8" t="n"/>
      <c r="G371" s="9">
        <f>IF(I371="Settled","",MAX(0,TODAY()-F371))</f>
        <v/>
      </c>
      <c r="H371" s="9">
        <f>IF(E371="","",TEXT(E371,"0.00")&amp;"|"&amp;IF(B371="Invoice","AR","AP"))</f>
        <v/>
      </c>
      <c r="I371" s="9">
        <f>IF(H371="","",IF(COUNTIF(Bank!$F:$F,H371)&gt;0,"Settled","Open"))</f>
        <v/>
      </c>
      <c r="J371" s="9">
        <f>IF(I371&lt;&gt;"Open","",IF(G371&lt;=0,"Current",IF(G371&lt;=30,"1-30",IF(G371&lt;=60,"31-60",IF(G371&lt;=90,"61-90","90+")))))</f>
        <v/>
      </c>
    </row>
    <row r="372">
      <c r="A372" s="8" t="n"/>
      <c r="B372" s="9" t="n"/>
      <c r="C372" s="9" t="n"/>
      <c r="D372" s="9" t="n"/>
      <c r="E372" s="10" t="n"/>
      <c r="F372" s="8" t="n"/>
      <c r="G372" s="9">
        <f>IF(I372="Settled","",MAX(0,TODAY()-F372))</f>
        <v/>
      </c>
      <c r="H372" s="9">
        <f>IF(E372="","",TEXT(E372,"0.00")&amp;"|"&amp;IF(B372="Invoice","AR","AP"))</f>
        <v/>
      </c>
      <c r="I372" s="9">
        <f>IF(H372="","",IF(COUNTIF(Bank!$F:$F,H372)&gt;0,"Settled","Open"))</f>
        <v/>
      </c>
      <c r="J372" s="9">
        <f>IF(I372&lt;&gt;"Open","",IF(G372&lt;=0,"Current",IF(G372&lt;=30,"1-30",IF(G372&lt;=60,"31-60",IF(G372&lt;=90,"61-90","90+")))))</f>
        <v/>
      </c>
    </row>
    <row r="373">
      <c r="A373" s="8" t="n"/>
      <c r="B373" s="9" t="n"/>
      <c r="C373" s="9" t="n"/>
      <c r="D373" s="9" t="n"/>
      <c r="E373" s="10" t="n"/>
      <c r="F373" s="8" t="n"/>
      <c r="G373" s="9">
        <f>IF(I373="Settled","",MAX(0,TODAY()-F373))</f>
        <v/>
      </c>
      <c r="H373" s="9">
        <f>IF(E373="","",TEXT(E373,"0.00")&amp;"|"&amp;IF(B373="Invoice","AR","AP"))</f>
        <v/>
      </c>
      <c r="I373" s="9">
        <f>IF(H373="","",IF(COUNTIF(Bank!$F:$F,H373)&gt;0,"Settled","Open"))</f>
        <v/>
      </c>
      <c r="J373" s="9">
        <f>IF(I373&lt;&gt;"Open","",IF(G373&lt;=0,"Current",IF(G373&lt;=30,"1-30",IF(G373&lt;=60,"31-60",IF(G373&lt;=90,"61-90","90+")))))</f>
        <v/>
      </c>
    </row>
    <row r="374">
      <c r="A374" s="8" t="n"/>
      <c r="B374" s="9" t="n"/>
      <c r="C374" s="9" t="n"/>
      <c r="D374" s="9" t="n"/>
      <c r="E374" s="10" t="n"/>
      <c r="F374" s="8" t="n"/>
      <c r="G374" s="9">
        <f>IF(I374="Settled","",MAX(0,TODAY()-F374))</f>
        <v/>
      </c>
      <c r="H374" s="9">
        <f>IF(E374="","",TEXT(E374,"0.00")&amp;"|"&amp;IF(B374="Invoice","AR","AP"))</f>
        <v/>
      </c>
      <c r="I374" s="9">
        <f>IF(H374="","",IF(COUNTIF(Bank!$F:$F,H374)&gt;0,"Settled","Open"))</f>
        <v/>
      </c>
      <c r="J374" s="9">
        <f>IF(I374&lt;&gt;"Open","",IF(G374&lt;=0,"Current",IF(G374&lt;=30,"1-30",IF(G374&lt;=60,"31-60",IF(G374&lt;=90,"61-90","90+")))))</f>
        <v/>
      </c>
    </row>
    <row r="375">
      <c r="A375" s="8" t="n"/>
      <c r="B375" s="9" t="n"/>
      <c r="C375" s="9" t="n"/>
      <c r="D375" s="9" t="n"/>
      <c r="E375" s="10" t="n"/>
      <c r="F375" s="8" t="n"/>
      <c r="G375" s="9">
        <f>IF(I375="Settled","",MAX(0,TODAY()-F375))</f>
        <v/>
      </c>
      <c r="H375" s="9">
        <f>IF(E375="","",TEXT(E375,"0.00")&amp;"|"&amp;IF(B375="Invoice","AR","AP"))</f>
        <v/>
      </c>
      <c r="I375" s="9">
        <f>IF(H375="","",IF(COUNTIF(Bank!$F:$F,H375)&gt;0,"Settled","Open"))</f>
        <v/>
      </c>
      <c r="J375" s="9">
        <f>IF(I375&lt;&gt;"Open","",IF(G375&lt;=0,"Current",IF(G375&lt;=30,"1-30",IF(G375&lt;=60,"31-60",IF(G375&lt;=90,"61-90","90+")))))</f>
        <v/>
      </c>
    </row>
    <row r="376">
      <c r="A376" s="8" t="n"/>
      <c r="B376" s="9" t="n"/>
      <c r="C376" s="9" t="n"/>
      <c r="D376" s="9" t="n"/>
      <c r="E376" s="10" t="n"/>
      <c r="F376" s="8" t="n"/>
      <c r="G376" s="9">
        <f>IF(I376="Settled","",MAX(0,TODAY()-F376))</f>
        <v/>
      </c>
      <c r="H376" s="9">
        <f>IF(E376="","",TEXT(E376,"0.00")&amp;"|"&amp;IF(B376="Invoice","AR","AP"))</f>
        <v/>
      </c>
      <c r="I376" s="9">
        <f>IF(H376="","",IF(COUNTIF(Bank!$F:$F,H376)&gt;0,"Settled","Open"))</f>
        <v/>
      </c>
      <c r="J376" s="9">
        <f>IF(I376&lt;&gt;"Open","",IF(G376&lt;=0,"Current",IF(G376&lt;=30,"1-30",IF(G376&lt;=60,"31-60",IF(G376&lt;=90,"61-90","90+")))))</f>
        <v/>
      </c>
    </row>
    <row r="377">
      <c r="A377" s="8" t="n"/>
      <c r="B377" s="9" t="n"/>
      <c r="C377" s="9" t="n"/>
      <c r="D377" s="9" t="n"/>
      <c r="E377" s="10" t="n"/>
      <c r="F377" s="8" t="n"/>
      <c r="G377" s="9">
        <f>IF(I377="Settled","",MAX(0,TODAY()-F377))</f>
        <v/>
      </c>
      <c r="H377" s="9">
        <f>IF(E377="","",TEXT(E377,"0.00")&amp;"|"&amp;IF(B377="Invoice","AR","AP"))</f>
        <v/>
      </c>
      <c r="I377" s="9">
        <f>IF(H377="","",IF(COUNTIF(Bank!$F:$F,H377)&gt;0,"Settled","Open"))</f>
        <v/>
      </c>
      <c r="J377" s="9">
        <f>IF(I377&lt;&gt;"Open","",IF(G377&lt;=0,"Current",IF(G377&lt;=30,"1-30",IF(G377&lt;=60,"31-60",IF(G377&lt;=90,"61-90","90+")))))</f>
        <v/>
      </c>
    </row>
    <row r="378">
      <c r="A378" s="8" t="n"/>
      <c r="B378" s="9" t="n"/>
      <c r="C378" s="9" t="n"/>
      <c r="D378" s="9" t="n"/>
      <c r="E378" s="10" t="n"/>
      <c r="F378" s="8" t="n"/>
      <c r="G378" s="9">
        <f>IF(I378="Settled","",MAX(0,TODAY()-F378))</f>
        <v/>
      </c>
      <c r="H378" s="9">
        <f>IF(E378="","",TEXT(E378,"0.00")&amp;"|"&amp;IF(B378="Invoice","AR","AP"))</f>
        <v/>
      </c>
      <c r="I378" s="9">
        <f>IF(H378="","",IF(COUNTIF(Bank!$F:$F,H378)&gt;0,"Settled","Open"))</f>
        <v/>
      </c>
      <c r="J378" s="9">
        <f>IF(I378&lt;&gt;"Open","",IF(G378&lt;=0,"Current",IF(G378&lt;=30,"1-30",IF(G378&lt;=60,"31-60",IF(G378&lt;=90,"61-90","90+")))))</f>
        <v/>
      </c>
    </row>
    <row r="379">
      <c r="A379" s="8" t="n"/>
      <c r="B379" s="9" t="n"/>
      <c r="C379" s="9" t="n"/>
      <c r="D379" s="9" t="n"/>
      <c r="E379" s="10" t="n"/>
      <c r="F379" s="8" t="n"/>
      <c r="G379" s="9">
        <f>IF(I379="Settled","",MAX(0,TODAY()-F379))</f>
        <v/>
      </c>
      <c r="H379" s="9">
        <f>IF(E379="","",TEXT(E379,"0.00")&amp;"|"&amp;IF(B379="Invoice","AR","AP"))</f>
        <v/>
      </c>
      <c r="I379" s="9">
        <f>IF(H379="","",IF(COUNTIF(Bank!$F:$F,H379)&gt;0,"Settled","Open"))</f>
        <v/>
      </c>
      <c r="J379" s="9">
        <f>IF(I379&lt;&gt;"Open","",IF(G379&lt;=0,"Current",IF(G379&lt;=30,"1-30",IF(G379&lt;=60,"31-60",IF(G379&lt;=90,"61-90","90+")))))</f>
        <v/>
      </c>
    </row>
    <row r="380">
      <c r="A380" s="8" t="n"/>
      <c r="B380" s="9" t="n"/>
      <c r="C380" s="9" t="n"/>
      <c r="D380" s="9" t="n"/>
      <c r="E380" s="10" t="n"/>
      <c r="F380" s="8" t="n"/>
      <c r="G380" s="9">
        <f>IF(I380="Settled","",MAX(0,TODAY()-F380))</f>
        <v/>
      </c>
      <c r="H380" s="9">
        <f>IF(E380="","",TEXT(E380,"0.00")&amp;"|"&amp;IF(B380="Invoice","AR","AP"))</f>
        <v/>
      </c>
      <c r="I380" s="9">
        <f>IF(H380="","",IF(COUNTIF(Bank!$F:$F,H380)&gt;0,"Settled","Open"))</f>
        <v/>
      </c>
      <c r="J380" s="9">
        <f>IF(I380&lt;&gt;"Open","",IF(G380&lt;=0,"Current",IF(G380&lt;=30,"1-30",IF(G380&lt;=60,"31-60",IF(G380&lt;=90,"61-90","90+")))))</f>
        <v/>
      </c>
    </row>
    <row r="381">
      <c r="A381" s="8" t="n"/>
      <c r="B381" s="9" t="n"/>
      <c r="C381" s="9" t="n"/>
      <c r="D381" s="9" t="n"/>
      <c r="E381" s="10" t="n"/>
      <c r="F381" s="8" t="n"/>
      <c r="G381" s="9">
        <f>IF(I381="Settled","",MAX(0,TODAY()-F381))</f>
        <v/>
      </c>
      <c r="H381" s="9">
        <f>IF(E381="","",TEXT(E381,"0.00")&amp;"|"&amp;IF(B381="Invoice","AR","AP"))</f>
        <v/>
      </c>
      <c r="I381" s="9">
        <f>IF(H381="","",IF(COUNTIF(Bank!$F:$F,H381)&gt;0,"Settled","Open"))</f>
        <v/>
      </c>
      <c r="J381" s="9">
        <f>IF(I381&lt;&gt;"Open","",IF(G381&lt;=0,"Current",IF(G381&lt;=30,"1-30",IF(G381&lt;=60,"31-60",IF(G381&lt;=90,"61-90","90+")))))</f>
        <v/>
      </c>
    </row>
    <row r="382">
      <c r="A382" s="8" t="n"/>
      <c r="B382" s="9" t="n"/>
      <c r="C382" s="9" t="n"/>
      <c r="D382" s="9" t="n"/>
      <c r="E382" s="10" t="n"/>
      <c r="F382" s="8" t="n"/>
      <c r="G382" s="9">
        <f>IF(I382="Settled","",MAX(0,TODAY()-F382))</f>
        <v/>
      </c>
      <c r="H382" s="9">
        <f>IF(E382="","",TEXT(E382,"0.00")&amp;"|"&amp;IF(B382="Invoice","AR","AP"))</f>
        <v/>
      </c>
      <c r="I382" s="9">
        <f>IF(H382="","",IF(COUNTIF(Bank!$F:$F,H382)&gt;0,"Settled","Open"))</f>
        <v/>
      </c>
      <c r="J382" s="9">
        <f>IF(I382&lt;&gt;"Open","",IF(G382&lt;=0,"Current",IF(G382&lt;=30,"1-30",IF(G382&lt;=60,"31-60",IF(G382&lt;=90,"61-90","90+")))))</f>
        <v/>
      </c>
    </row>
    <row r="383">
      <c r="A383" s="8" t="n"/>
      <c r="B383" s="9" t="n"/>
      <c r="C383" s="9" t="n"/>
      <c r="D383" s="9" t="n"/>
      <c r="E383" s="10" t="n"/>
      <c r="F383" s="8" t="n"/>
      <c r="G383" s="9">
        <f>IF(I383="Settled","",MAX(0,TODAY()-F383))</f>
        <v/>
      </c>
      <c r="H383" s="9">
        <f>IF(E383="","",TEXT(E383,"0.00")&amp;"|"&amp;IF(B383="Invoice","AR","AP"))</f>
        <v/>
      </c>
      <c r="I383" s="9">
        <f>IF(H383="","",IF(COUNTIF(Bank!$F:$F,H383)&gt;0,"Settled","Open"))</f>
        <v/>
      </c>
      <c r="J383" s="9">
        <f>IF(I383&lt;&gt;"Open","",IF(G383&lt;=0,"Current",IF(G383&lt;=30,"1-30",IF(G383&lt;=60,"31-60",IF(G383&lt;=90,"61-90","90+")))))</f>
        <v/>
      </c>
    </row>
    <row r="384">
      <c r="A384" s="8" t="n"/>
      <c r="B384" s="9" t="n"/>
      <c r="C384" s="9" t="n"/>
      <c r="D384" s="9" t="n"/>
      <c r="E384" s="10" t="n"/>
      <c r="F384" s="8" t="n"/>
      <c r="G384" s="9">
        <f>IF(I384="Settled","",MAX(0,TODAY()-F384))</f>
        <v/>
      </c>
      <c r="H384" s="9">
        <f>IF(E384="","",TEXT(E384,"0.00")&amp;"|"&amp;IF(B384="Invoice","AR","AP"))</f>
        <v/>
      </c>
      <c r="I384" s="9">
        <f>IF(H384="","",IF(COUNTIF(Bank!$F:$F,H384)&gt;0,"Settled","Open"))</f>
        <v/>
      </c>
      <c r="J384" s="9">
        <f>IF(I384&lt;&gt;"Open","",IF(G384&lt;=0,"Current",IF(G384&lt;=30,"1-30",IF(G384&lt;=60,"31-60",IF(G384&lt;=90,"61-90","90+")))))</f>
        <v/>
      </c>
    </row>
    <row r="385">
      <c r="A385" s="8" t="n"/>
      <c r="B385" s="9" t="n"/>
      <c r="C385" s="9" t="n"/>
      <c r="D385" s="9" t="n"/>
      <c r="E385" s="10" t="n"/>
      <c r="F385" s="8" t="n"/>
      <c r="G385" s="9">
        <f>IF(I385="Settled","",MAX(0,TODAY()-F385))</f>
        <v/>
      </c>
      <c r="H385" s="9">
        <f>IF(E385="","",TEXT(E385,"0.00")&amp;"|"&amp;IF(B385="Invoice","AR","AP"))</f>
        <v/>
      </c>
      <c r="I385" s="9">
        <f>IF(H385="","",IF(COUNTIF(Bank!$F:$F,H385)&gt;0,"Settled","Open"))</f>
        <v/>
      </c>
      <c r="J385" s="9">
        <f>IF(I385&lt;&gt;"Open","",IF(G385&lt;=0,"Current",IF(G385&lt;=30,"1-30",IF(G385&lt;=60,"31-60",IF(G385&lt;=90,"61-90","90+")))))</f>
        <v/>
      </c>
    </row>
    <row r="386">
      <c r="A386" s="8" t="n"/>
      <c r="B386" s="9" t="n"/>
      <c r="C386" s="9" t="n"/>
      <c r="D386" s="9" t="n"/>
      <c r="E386" s="10" t="n"/>
      <c r="F386" s="8" t="n"/>
      <c r="G386" s="9">
        <f>IF(I386="Settled","",MAX(0,TODAY()-F386))</f>
        <v/>
      </c>
      <c r="H386" s="9">
        <f>IF(E386="","",TEXT(E386,"0.00")&amp;"|"&amp;IF(B386="Invoice","AR","AP"))</f>
        <v/>
      </c>
      <c r="I386" s="9">
        <f>IF(H386="","",IF(COUNTIF(Bank!$F:$F,H386)&gt;0,"Settled","Open"))</f>
        <v/>
      </c>
      <c r="J386" s="9">
        <f>IF(I386&lt;&gt;"Open","",IF(G386&lt;=0,"Current",IF(G386&lt;=30,"1-30",IF(G386&lt;=60,"31-60",IF(G386&lt;=90,"61-90","90+")))))</f>
        <v/>
      </c>
    </row>
    <row r="387">
      <c r="A387" s="8" t="n"/>
      <c r="B387" s="9" t="n"/>
      <c r="C387" s="9" t="n"/>
      <c r="D387" s="9" t="n"/>
      <c r="E387" s="10" t="n"/>
      <c r="F387" s="8" t="n"/>
      <c r="G387" s="9">
        <f>IF(I387="Settled","",MAX(0,TODAY()-F387))</f>
        <v/>
      </c>
      <c r="H387" s="9">
        <f>IF(E387="","",TEXT(E387,"0.00")&amp;"|"&amp;IF(B387="Invoice","AR","AP"))</f>
        <v/>
      </c>
      <c r="I387" s="9">
        <f>IF(H387="","",IF(COUNTIF(Bank!$F:$F,H387)&gt;0,"Settled","Open"))</f>
        <v/>
      </c>
      <c r="J387" s="9">
        <f>IF(I387&lt;&gt;"Open","",IF(G387&lt;=0,"Current",IF(G387&lt;=30,"1-30",IF(G387&lt;=60,"31-60",IF(G387&lt;=90,"61-90","90+")))))</f>
        <v/>
      </c>
    </row>
    <row r="388">
      <c r="A388" s="8" t="n"/>
      <c r="B388" s="9" t="n"/>
      <c r="C388" s="9" t="n"/>
      <c r="D388" s="9" t="n"/>
      <c r="E388" s="10" t="n"/>
      <c r="F388" s="8" t="n"/>
      <c r="G388" s="9">
        <f>IF(I388="Settled","",MAX(0,TODAY()-F388))</f>
        <v/>
      </c>
      <c r="H388" s="9">
        <f>IF(E388="","",TEXT(E388,"0.00")&amp;"|"&amp;IF(B388="Invoice","AR","AP"))</f>
        <v/>
      </c>
      <c r="I388" s="9">
        <f>IF(H388="","",IF(COUNTIF(Bank!$F:$F,H388)&gt;0,"Settled","Open"))</f>
        <v/>
      </c>
      <c r="J388" s="9">
        <f>IF(I388&lt;&gt;"Open","",IF(G388&lt;=0,"Current",IF(G388&lt;=30,"1-30",IF(G388&lt;=60,"31-60",IF(G388&lt;=90,"61-90","90+")))))</f>
        <v/>
      </c>
    </row>
    <row r="389">
      <c r="A389" s="8" t="n"/>
      <c r="B389" s="9" t="n"/>
      <c r="C389" s="9" t="n"/>
      <c r="D389" s="9" t="n"/>
      <c r="E389" s="10" t="n"/>
      <c r="F389" s="8" t="n"/>
      <c r="G389" s="9">
        <f>IF(I389="Settled","",MAX(0,TODAY()-F389))</f>
        <v/>
      </c>
      <c r="H389" s="9">
        <f>IF(E389="","",TEXT(E389,"0.00")&amp;"|"&amp;IF(B389="Invoice","AR","AP"))</f>
        <v/>
      </c>
      <c r="I389" s="9">
        <f>IF(H389="","",IF(COUNTIF(Bank!$F:$F,H389)&gt;0,"Settled","Open"))</f>
        <v/>
      </c>
      <c r="J389" s="9">
        <f>IF(I389&lt;&gt;"Open","",IF(G389&lt;=0,"Current",IF(G389&lt;=30,"1-30",IF(G389&lt;=60,"31-60",IF(G389&lt;=90,"61-90","90+")))))</f>
        <v/>
      </c>
    </row>
    <row r="390">
      <c r="A390" s="8" t="n"/>
      <c r="B390" s="9" t="n"/>
      <c r="C390" s="9" t="n"/>
      <c r="D390" s="9" t="n"/>
      <c r="E390" s="10" t="n"/>
      <c r="F390" s="8" t="n"/>
      <c r="G390" s="9">
        <f>IF(I390="Settled","",MAX(0,TODAY()-F390))</f>
        <v/>
      </c>
      <c r="H390" s="9">
        <f>IF(E390="","",TEXT(E390,"0.00")&amp;"|"&amp;IF(B390="Invoice","AR","AP"))</f>
        <v/>
      </c>
      <c r="I390" s="9">
        <f>IF(H390="","",IF(COUNTIF(Bank!$F:$F,H390)&gt;0,"Settled","Open"))</f>
        <v/>
      </c>
      <c r="J390" s="9">
        <f>IF(I390&lt;&gt;"Open","",IF(G390&lt;=0,"Current",IF(G390&lt;=30,"1-30",IF(G390&lt;=60,"31-60",IF(G390&lt;=90,"61-90","90+")))))</f>
        <v/>
      </c>
    </row>
    <row r="391">
      <c r="A391" s="8" t="n"/>
      <c r="B391" s="9" t="n"/>
      <c r="C391" s="9" t="n"/>
      <c r="D391" s="9" t="n"/>
      <c r="E391" s="10" t="n"/>
      <c r="F391" s="8" t="n"/>
      <c r="G391" s="9">
        <f>IF(I391="Settled","",MAX(0,TODAY()-F391))</f>
        <v/>
      </c>
      <c r="H391" s="9">
        <f>IF(E391="","",TEXT(E391,"0.00")&amp;"|"&amp;IF(B391="Invoice","AR","AP"))</f>
        <v/>
      </c>
      <c r="I391" s="9">
        <f>IF(H391="","",IF(COUNTIF(Bank!$F:$F,H391)&gt;0,"Settled","Open"))</f>
        <v/>
      </c>
      <c r="J391" s="9">
        <f>IF(I391&lt;&gt;"Open","",IF(G391&lt;=0,"Current",IF(G391&lt;=30,"1-30",IF(G391&lt;=60,"31-60",IF(G391&lt;=90,"61-90","90+")))))</f>
        <v/>
      </c>
    </row>
    <row r="392">
      <c r="A392" s="8" t="n"/>
      <c r="B392" s="9" t="n"/>
      <c r="C392" s="9" t="n"/>
      <c r="D392" s="9" t="n"/>
      <c r="E392" s="10" t="n"/>
      <c r="F392" s="8" t="n"/>
      <c r="G392" s="9">
        <f>IF(I392="Settled","",MAX(0,TODAY()-F392))</f>
        <v/>
      </c>
      <c r="H392" s="9">
        <f>IF(E392="","",TEXT(E392,"0.00")&amp;"|"&amp;IF(B392="Invoice","AR","AP"))</f>
        <v/>
      </c>
      <c r="I392" s="9">
        <f>IF(H392="","",IF(COUNTIF(Bank!$F:$F,H392)&gt;0,"Settled","Open"))</f>
        <v/>
      </c>
      <c r="J392" s="9">
        <f>IF(I392&lt;&gt;"Open","",IF(G392&lt;=0,"Current",IF(G392&lt;=30,"1-30",IF(G392&lt;=60,"31-60",IF(G392&lt;=90,"61-90","90+")))))</f>
        <v/>
      </c>
    </row>
    <row r="393">
      <c r="A393" s="8" t="n"/>
      <c r="B393" s="9" t="n"/>
      <c r="C393" s="9" t="n"/>
      <c r="D393" s="9" t="n"/>
      <c r="E393" s="10" t="n"/>
      <c r="F393" s="8" t="n"/>
      <c r="G393" s="9">
        <f>IF(I393="Settled","",MAX(0,TODAY()-F393))</f>
        <v/>
      </c>
      <c r="H393" s="9">
        <f>IF(E393="","",TEXT(E393,"0.00")&amp;"|"&amp;IF(B393="Invoice","AR","AP"))</f>
        <v/>
      </c>
      <c r="I393" s="9">
        <f>IF(H393="","",IF(COUNTIF(Bank!$F:$F,H393)&gt;0,"Settled","Open"))</f>
        <v/>
      </c>
      <c r="J393" s="9">
        <f>IF(I393&lt;&gt;"Open","",IF(G393&lt;=0,"Current",IF(G393&lt;=30,"1-30",IF(G393&lt;=60,"31-60",IF(G393&lt;=90,"61-90","90+")))))</f>
        <v/>
      </c>
    </row>
    <row r="394">
      <c r="A394" s="8" t="n"/>
      <c r="B394" s="9" t="n"/>
      <c r="C394" s="9" t="n"/>
      <c r="D394" s="9" t="n"/>
      <c r="E394" s="10" t="n"/>
      <c r="F394" s="8" t="n"/>
      <c r="G394" s="9">
        <f>IF(I394="Settled","",MAX(0,TODAY()-F394))</f>
        <v/>
      </c>
      <c r="H394" s="9">
        <f>IF(E394="","",TEXT(E394,"0.00")&amp;"|"&amp;IF(B394="Invoice","AR","AP"))</f>
        <v/>
      </c>
      <c r="I394" s="9">
        <f>IF(H394="","",IF(COUNTIF(Bank!$F:$F,H394)&gt;0,"Settled","Open"))</f>
        <v/>
      </c>
      <c r="J394" s="9">
        <f>IF(I394&lt;&gt;"Open","",IF(G394&lt;=0,"Current",IF(G394&lt;=30,"1-30",IF(G394&lt;=60,"31-60",IF(G394&lt;=90,"61-90","90+")))))</f>
        <v/>
      </c>
    </row>
    <row r="395">
      <c r="A395" s="8" t="n"/>
      <c r="B395" s="9" t="n"/>
      <c r="C395" s="9" t="n"/>
      <c r="D395" s="9" t="n"/>
      <c r="E395" s="10" t="n"/>
      <c r="F395" s="8" t="n"/>
      <c r="G395" s="9">
        <f>IF(I395="Settled","",MAX(0,TODAY()-F395))</f>
        <v/>
      </c>
      <c r="H395" s="9">
        <f>IF(E395="","",TEXT(E395,"0.00")&amp;"|"&amp;IF(B395="Invoice","AR","AP"))</f>
        <v/>
      </c>
      <c r="I395" s="9">
        <f>IF(H395="","",IF(COUNTIF(Bank!$F:$F,H395)&gt;0,"Settled","Open"))</f>
        <v/>
      </c>
      <c r="J395" s="9">
        <f>IF(I395&lt;&gt;"Open","",IF(G395&lt;=0,"Current",IF(G395&lt;=30,"1-30",IF(G395&lt;=60,"31-60",IF(G395&lt;=90,"61-90","90+")))))</f>
        <v/>
      </c>
    </row>
    <row r="396">
      <c r="A396" s="8" t="n"/>
      <c r="B396" s="9" t="n"/>
      <c r="C396" s="9" t="n"/>
      <c r="D396" s="9" t="n"/>
      <c r="E396" s="10" t="n"/>
      <c r="F396" s="8" t="n"/>
      <c r="G396" s="9">
        <f>IF(I396="Settled","",MAX(0,TODAY()-F396))</f>
        <v/>
      </c>
      <c r="H396" s="9">
        <f>IF(E396="","",TEXT(E396,"0.00")&amp;"|"&amp;IF(B396="Invoice","AR","AP"))</f>
        <v/>
      </c>
      <c r="I396" s="9">
        <f>IF(H396="","",IF(COUNTIF(Bank!$F:$F,H396)&gt;0,"Settled","Open"))</f>
        <v/>
      </c>
      <c r="J396" s="9">
        <f>IF(I396&lt;&gt;"Open","",IF(G396&lt;=0,"Current",IF(G396&lt;=30,"1-30",IF(G396&lt;=60,"31-60",IF(G396&lt;=90,"61-90","90+")))))</f>
        <v/>
      </c>
    </row>
    <row r="397">
      <c r="A397" s="8" t="n"/>
      <c r="B397" s="9" t="n"/>
      <c r="C397" s="9" t="n"/>
      <c r="D397" s="9" t="n"/>
      <c r="E397" s="10" t="n"/>
      <c r="F397" s="8" t="n"/>
      <c r="G397" s="9">
        <f>IF(I397="Settled","",MAX(0,TODAY()-F397))</f>
        <v/>
      </c>
      <c r="H397" s="9">
        <f>IF(E397="","",TEXT(E397,"0.00")&amp;"|"&amp;IF(B397="Invoice","AR","AP"))</f>
        <v/>
      </c>
      <c r="I397" s="9">
        <f>IF(H397="","",IF(COUNTIF(Bank!$F:$F,H397)&gt;0,"Settled","Open"))</f>
        <v/>
      </c>
      <c r="J397" s="9">
        <f>IF(I397&lt;&gt;"Open","",IF(G397&lt;=0,"Current",IF(G397&lt;=30,"1-30",IF(G397&lt;=60,"31-60",IF(G397&lt;=90,"61-90","90+")))))</f>
        <v/>
      </c>
    </row>
    <row r="398">
      <c r="A398" s="8" t="n"/>
      <c r="B398" s="9" t="n"/>
      <c r="C398" s="9" t="n"/>
      <c r="D398" s="9" t="n"/>
      <c r="E398" s="10" t="n"/>
      <c r="F398" s="8" t="n"/>
      <c r="G398" s="9">
        <f>IF(I398="Settled","",MAX(0,TODAY()-F398))</f>
        <v/>
      </c>
      <c r="H398" s="9">
        <f>IF(E398="","",TEXT(E398,"0.00")&amp;"|"&amp;IF(B398="Invoice","AR","AP"))</f>
        <v/>
      </c>
      <c r="I398" s="9">
        <f>IF(H398="","",IF(COUNTIF(Bank!$F:$F,H398)&gt;0,"Settled","Open"))</f>
        <v/>
      </c>
      <c r="J398" s="9">
        <f>IF(I398&lt;&gt;"Open","",IF(G398&lt;=0,"Current",IF(G398&lt;=30,"1-30",IF(G398&lt;=60,"31-60",IF(G398&lt;=90,"61-90","90+")))))</f>
        <v/>
      </c>
    </row>
    <row r="399">
      <c r="A399" s="8" t="n"/>
      <c r="B399" s="9" t="n"/>
      <c r="C399" s="9" t="n"/>
      <c r="D399" s="9" t="n"/>
      <c r="E399" s="10" t="n"/>
      <c r="F399" s="8" t="n"/>
      <c r="G399" s="9">
        <f>IF(I399="Settled","",MAX(0,TODAY()-F399))</f>
        <v/>
      </c>
      <c r="H399" s="9">
        <f>IF(E399="","",TEXT(E399,"0.00")&amp;"|"&amp;IF(B399="Invoice","AR","AP"))</f>
        <v/>
      </c>
      <c r="I399" s="9">
        <f>IF(H399="","",IF(COUNTIF(Bank!$F:$F,H399)&gt;0,"Settled","Open"))</f>
        <v/>
      </c>
      <c r="J399" s="9">
        <f>IF(I399&lt;&gt;"Open","",IF(G399&lt;=0,"Current",IF(G399&lt;=30,"1-30",IF(G399&lt;=60,"31-60",IF(G399&lt;=90,"61-90","90+")))))</f>
        <v/>
      </c>
    </row>
    <row r="400">
      <c r="A400" s="8" t="n"/>
      <c r="B400" s="9" t="n"/>
      <c r="C400" s="9" t="n"/>
      <c r="D400" s="9" t="n"/>
      <c r="E400" s="10" t="n"/>
      <c r="F400" s="8" t="n"/>
      <c r="G400" s="9">
        <f>IF(I400="Settled","",MAX(0,TODAY()-F400))</f>
        <v/>
      </c>
      <c r="H400" s="9">
        <f>IF(E400="","",TEXT(E400,"0.00")&amp;"|"&amp;IF(B400="Invoice","AR","AP"))</f>
        <v/>
      </c>
      <c r="I400" s="9">
        <f>IF(H400="","",IF(COUNTIF(Bank!$F:$F,H400)&gt;0,"Settled","Open"))</f>
        <v/>
      </c>
      <c r="J400" s="9">
        <f>IF(I400&lt;&gt;"Open","",IF(G400&lt;=0,"Current",IF(G400&lt;=30,"1-30",IF(G400&lt;=60,"31-60",IF(G400&lt;=90,"61-90","90+")))))</f>
        <v/>
      </c>
    </row>
    <row r="401">
      <c r="A401" s="8" t="n"/>
      <c r="B401" s="9" t="n"/>
      <c r="C401" s="9" t="n"/>
      <c r="D401" s="9" t="n"/>
      <c r="E401" s="10" t="n"/>
      <c r="F401" s="8" t="n"/>
      <c r="G401" s="9">
        <f>IF(I401="Settled","",MAX(0,TODAY()-F401))</f>
        <v/>
      </c>
      <c r="H401" s="9">
        <f>IF(E401="","",TEXT(E401,"0.00")&amp;"|"&amp;IF(B401="Invoice","AR","AP"))</f>
        <v/>
      </c>
      <c r="I401" s="9">
        <f>IF(H401="","",IF(COUNTIF(Bank!$F:$F,H401)&gt;0,"Settled","Open"))</f>
        <v/>
      </c>
      <c r="J401" s="9">
        <f>IF(I401&lt;&gt;"Open","",IF(G401&lt;=0,"Current",IF(G401&lt;=30,"1-30",IF(G401&lt;=60,"31-60",IF(G401&lt;=90,"61-90","90+")))))</f>
        <v/>
      </c>
    </row>
    <row r="402">
      <c r="A402" s="8" t="n"/>
      <c r="B402" s="9" t="n"/>
      <c r="C402" s="9" t="n"/>
      <c r="D402" s="9" t="n"/>
      <c r="E402" s="10" t="n"/>
      <c r="F402" s="8" t="n"/>
      <c r="G402" s="9">
        <f>IF(I402="Settled","",MAX(0,TODAY()-F402))</f>
        <v/>
      </c>
      <c r="H402" s="9">
        <f>IF(E402="","",TEXT(E402,"0.00")&amp;"|"&amp;IF(B402="Invoice","AR","AP"))</f>
        <v/>
      </c>
      <c r="I402" s="9">
        <f>IF(H402="","",IF(COUNTIF(Bank!$F:$F,H402)&gt;0,"Settled","Open"))</f>
        <v/>
      </c>
      <c r="J402" s="9">
        <f>IF(I402&lt;&gt;"Open","",IF(G402&lt;=0,"Current",IF(G402&lt;=30,"1-30",IF(G402&lt;=60,"31-60",IF(G402&lt;=90,"61-90","90+")))))</f>
        <v/>
      </c>
    </row>
    <row r="403">
      <c r="A403" s="8" t="n"/>
      <c r="B403" s="9" t="n"/>
      <c r="C403" s="9" t="n"/>
      <c r="D403" s="9" t="n"/>
      <c r="E403" s="10" t="n"/>
      <c r="F403" s="8" t="n"/>
      <c r="G403" s="9">
        <f>IF(I403="Settled","",MAX(0,TODAY()-F403))</f>
        <v/>
      </c>
      <c r="H403" s="9">
        <f>IF(E403="","",TEXT(E403,"0.00")&amp;"|"&amp;IF(B403="Invoice","AR","AP"))</f>
        <v/>
      </c>
      <c r="I403" s="9">
        <f>IF(H403="","",IF(COUNTIF(Bank!$F:$F,H403)&gt;0,"Settled","Open"))</f>
        <v/>
      </c>
      <c r="J403" s="9">
        <f>IF(I403&lt;&gt;"Open","",IF(G403&lt;=0,"Current",IF(G403&lt;=30,"1-30",IF(G403&lt;=60,"31-60",IF(G403&lt;=90,"61-90","90+")))))</f>
        <v/>
      </c>
    </row>
    <row r="404">
      <c r="A404" s="8" t="n"/>
      <c r="B404" s="9" t="n"/>
      <c r="C404" s="9" t="n"/>
      <c r="D404" s="9" t="n"/>
      <c r="E404" s="10" t="n"/>
      <c r="F404" s="8" t="n"/>
      <c r="G404" s="9">
        <f>IF(I404="Settled","",MAX(0,TODAY()-F404))</f>
        <v/>
      </c>
      <c r="H404" s="9">
        <f>IF(E404="","",TEXT(E404,"0.00")&amp;"|"&amp;IF(B404="Invoice","AR","AP"))</f>
        <v/>
      </c>
      <c r="I404" s="9">
        <f>IF(H404="","",IF(COUNTIF(Bank!$F:$F,H404)&gt;0,"Settled","Open"))</f>
        <v/>
      </c>
      <c r="J404" s="9">
        <f>IF(I404&lt;&gt;"Open","",IF(G404&lt;=0,"Current",IF(G404&lt;=30,"1-30",IF(G404&lt;=60,"31-60",IF(G404&lt;=90,"61-90","90+")))))</f>
        <v/>
      </c>
    </row>
    <row r="405">
      <c r="A405" s="8" t="n"/>
      <c r="B405" s="9" t="n"/>
      <c r="C405" s="9" t="n"/>
      <c r="D405" s="9" t="n"/>
      <c r="E405" s="10" t="n"/>
      <c r="F405" s="8" t="n"/>
      <c r="G405" s="9">
        <f>IF(I405="Settled","",MAX(0,TODAY()-F405))</f>
        <v/>
      </c>
      <c r="H405" s="9">
        <f>IF(E405="","",TEXT(E405,"0.00")&amp;"|"&amp;IF(B405="Invoice","AR","AP"))</f>
        <v/>
      </c>
      <c r="I405" s="9">
        <f>IF(H405="","",IF(COUNTIF(Bank!$F:$F,H405)&gt;0,"Settled","Open"))</f>
        <v/>
      </c>
      <c r="J405" s="9">
        <f>IF(I405&lt;&gt;"Open","",IF(G405&lt;=0,"Current",IF(G405&lt;=30,"1-30",IF(G405&lt;=60,"31-60",IF(G405&lt;=90,"61-90","90+")))))</f>
        <v/>
      </c>
    </row>
    <row r="406">
      <c r="A406" s="8" t="n"/>
      <c r="B406" s="9" t="n"/>
      <c r="C406" s="9" t="n"/>
      <c r="D406" s="9" t="n"/>
      <c r="E406" s="10" t="n"/>
      <c r="F406" s="8" t="n"/>
      <c r="G406" s="9">
        <f>IF(I406="Settled","",MAX(0,TODAY()-F406))</f>
        <v/>
      </c>
      <c r="H406" s="9">
        <f>IF(E406="","",TEXT(E406,"0.00")&amp;"|"&amp;IF(B406="Invoice","AR","AP"))</f>
        <v/>
      </c>
      <c r="I406" s="9">
        <f>IF(H406="","",IF(COUNTIF(Bank!$F:$F,H406)&gt;0,"Settled","Open"))</f>
        <v/>
      </c>
      <c r="J406" s="9">
        <f>IF(I406&lt;&gt;"Open","",IF(G406&lt;=0,"Current",IF(G406&lt;=30,"1-30",IF(G406&lt;=60,"31-60",IF(G406&lt;=90,"61-90","90+")))))</f>
        <v/>
      </c>
    </row>
    <row r="407">
      <c r="A407" s="8" t="n"/>
      <c r="B407" s="9" t="n"/>
      <c r="C407" s="9" t="n"/>
      <c r="D407" s="9" t="n"/>
      <c r="E407" s="10" t="n"/>
      <c r="F407" s="8" t="n"/>
      <c r="G407" s="9">
        <f>IF(I407="Settled","",MAX(0,TODAY()-F407))</f>
        <v/>
      </c>
      <c r="H407" s="9">
        <f>IF(E407="","",TEXT(E407,"0.00")&amp;"|"&amp;IF(B407="Invoice","AR","AP"))</f>
        <v/>
      </c>
      <c r="I407" s="9">
        <f>IF(H407="","",IF(COUNTIF(Bank!$F:$F,H407)&gt;0,"Settled","Open"))</f>
        <v/>
      </c>
      <c r="J407" s="9">
        <f>IF(I407&lt;&gt;"Open","",IF(G407&lt;=0,"Current",IF(G407&lt;=30,"1-30",IF(G407&lt;=60,"31-60",IF(G407&lt;=90,"61-90","90+")))))</f>
        <v/>
      </c>
    </row>
    <row r="408">
      <c r="A408" s="8" t="n"/>
      <c r="B408" s="9" t="n"/>
      <c r="C408" s="9" t="n"/>
      <c r="D408" s="9" t="n"/>
      <c r="E408" s="10" t="n"/>
      <c r="F408" s="8" t="n"/>
      <c r="G408" s="9">
        <f>IF(I408="Settled","",MAX(0,TODAY()-F408))</f>
        <v/>
      </c>
      <c r="H408" s="9">
        <f>IF(E408="","",TEXT(E408,"0.00")&amp;"|"&amp;IF(B408="Invoice","AR","AP"))</f>
        <v/>
      </c>
      <c r="I408" s="9">
        <f>IF(H408="","",IF(COUNTIF(Bank!$F:$F,H408)&gt;0,"Settled","Open"))</f>
        <v/>
      </c>
      <c r="J408" s="9">
        <f>IF(I408&lt;&gt;"Open","",IF(G408&lt;=0,"Current",IF(G408&lt;=30,"1-30",IF(G408&lt;=60,"31-60",IF(G408&lt;=90,"61-90","90+")))))</f>
        <v/>
      </c>
    </row>
    <row r="409">
      <c r="A409" s="8" t="n"/>
      <c r="B409" s="9" t="n"/>
      <c r="C409" s="9" t="n"/>
      <c r="D409" s="9" t="n"/>
      <c r="E409" s="10" t="n"/>
      <c r="F409" s="8" t="n"/>
      <c r="G409" s="9">
        <f>IF(I409="Settled","",MAX(0,TODAY()-F409))</f>
        <v/>
      </c>
      <c r="H409" s="9">
        <f>IF(E409="","",TEXT(E409,"0.00")&amp;"|"&amp;IF(B409="Invoice","AR","AP"))</f>
        <v/>
      </c>
      <c r="I409" s="9">
        <f>IF(H409="","",IF(COUNTIF(Bank!$F:$F,H409)&gt;0,"Settled","Open"))</f>
        <v/>
      </c>
      <c r="J409" s="9">
        <f>IF(I409&lt;&gt;"Open","",IF(G409&lt;=0,"Current",IF(G409&lt;=30,"1-30",IF(G409&lt;=60,"31-60",IF(G409&lt;=90,"61-90","90+")))))</f>
        <v/>
      </c>
    </row>
    <row r="410">
      <c r="A410" s="8" t="n"/>
      <c r="B410" s="9" t="n"/>
      <c r="C410" s="9" t="n"/>
      <c r="D410" s="9" t="n"/>
      <c r="E410" s="10" t="n"/>
      <c r="F410" s="8" t="n"/>
      <c r="G410" s="9">
        <f>IF(I410="Settled","",MAX(0,TODAY()-F410))</f>
        <v/>
      </c>
      <c r="H410" s="9">
        <f>IF(E410="","",TEXT(E410,"0.00")&amp;"|"&amp;IF(B410="Invoice","AR","AP"))</f>
        <v/>
      </c>
      <c r="I410" s="9">
        <f>IF(H410="","",IF(COUNTIF(Bank!$F:$F,H410)&gt;0,"Settled","Open"))</f>
        <v/>
      </c>
      <c r="J410" s="9">
        <f>IF(I410&lt;&gt;"Open","",IF(G410&lt;=0,"Current",IF(G410&lt;=30,"1-30",IF(G410&lt;=60,"31-60",IF(G410&lt;=90,"61-90","90+")))))</f>
        <v/>
      </c>
    </row>
    <row r="411">
      <c r="A411" s="8" t="n"/>
      <c r="B411" s="9" t="n"/>
      <c r="C411" s="9" t="n"/>
      <c r="D411" s="9" t="n"/>
      <c r="E411" s="10" t="n"/>
      <c r="F411" s="8" t="n"/>
      <c r="G411" s="9">
        <f>IF(I411="Settled","",MAX(0,TODAY()-F411))</f>
        <v/>
      </c>
      <c r="H411" s="9">
        <f>IF(E411="","",TEXT(E411,"0.00")&amp;"|"&amp;IF(B411="Invoice","AR","AP"))</f>
        <v/>
      </c>
      <c r="I411" s="9">
        <f>IF(H411="","",IF(COUNTIF(Bank!$F:$F,H411)&gt;0,"Settled","Open"))</f>
        <v/>
      </c>
      <c r="J411" s="9">
        <f>IF(I411&lt;&gt;"Open","",IF(G411&lt;=0,"Current",IF(G411&lt;=30,"1-30",IF(G411&lt;=60,"31-60",IF(G411&lt;=90,"61-90","90+")))))</f>
        <v/>
      </c>
    </row>
    <row r="412">
      <c r="A412" s="8" t="n"/>
      <c r="B412" s="9" t="n"/>
      <c r="C412" s="9" t="n"/>
      <c r="D412" s="9" t="n"/>
      <c r="E412" s="10" t="n"/>
      <c r="F412" s="8" t="n"/>
      <c r="G412" s="9">
        <f>IF(I412="Settled","",MAX(0,TODAY()-F412))</f>
        <v/>
      </c>
      <c r="H412" s="9">
        <f>IF(E412="","",TEXT(E412,"0.00")&amp;"|"&amp;IF(B412="Invoice","AR","AP"))</f>
        <v/>
      </c>
      <c r="I412" s="9">
        <f>IF(H412="","",IF(COUNTIF(Bank!$F:$F,H412)&gt;0,"Settled","Open"))</f>
        <v/>
      </c>
      <c r="J412" s="9">
        <f>IF(I412&lt;&gt;"Open","",IF(G412&lt;=0,"Current",IF(G412&lt;=30,"1-30",IF(G412&lt;=60,"31-60",IF(G412&lt;=90,"61-90","90+")))))</f>
        <v/>
      </c>
    </row>
    <row r="413">
      <c r="A413" s="8" t="n"/>
      <c r="B413" s="9" t="n"/>
      <c r="C413" s="9" t="n"/>
      <c r="D413" s="9" t="n"/>
      <c r="E413" s="10" t="n"/>
      <c r="F413" s="8" t="n"/>
      <c r="G413" s="9">
        <f>IF(I413="Settled","",MAX(0,TODAY()-F413))</f>
        <v/>
      </c>
      <c r="H413" s="9">
        <f>IF(E413="","",TEXT(E413,"0.00")&amp;"|"&amp;IF(B413="Invoice","AR","AP"))</f>
        <v/>
      </c>
      <c r="I413" s="9">
        <f>IF(H413="","",IF(COUNTIF(Bank!$F:$F,H413)&gt;0,"Settled","Open"))</f>
        <v/>
      </c>
      <c r="J413" s="9">
        <f>IF(I413&lt;&gt;"Open","",IF(G413&lt;=0,"Current",IF(G413&lt;=30,"1-30",IF(G413&lt;=60,"31-60",IF(G413&lt;=90,"61-90","90+")))))</f>
        <v/>
      </c>
    </row>
    <row r="414">
      <c r="A414" s="8" t="n"/>
      <c r="B414" s="9" t="n"/>
      <c r="C414" s="9" t="n"/>
      <c r="D414" s="9" t="n"/>
      <c r="E414" s="10" t="n"/>
      <c r="F414" s="8" t="n"/>
      <c r="G414" s="9">
        <f>IF(I414="Settled","",MAX(0,TODAY()-F414))</f>
        <v/>
      </c>
      <c r="H414" s="9">
        <f>IF(E414="","",TEXT(E414,"0.00")&amp;"|"&amp;IF(B414="Invoice","AR","AP"))</f>
        <v/>
      </c>
      <c r="I414" s="9">
        <f>IF(H414="","",IF(COUNTIF(Bank!$F:$F,H414)&gt;0,"Settled","Open"))</f>
        <v/>
      </c>
      <c r="J414" s="9">
        <f>IF(I414&lt;&gt;"Open","",IF(G414&lt;=0,"Current",IF(G414&lt;=30,"1-30",IF(G414&lt;=60,"31-60",IF(G414&lt;=90,"61-90","90+")))))</f>
        <v/>
      </c>
    </row>
    <row r="415">
      <c r="A415" s="8" t="n"/>
      <c r="B415" s="9" t="n"/>
      <c r="C415" s="9" t="n"/>
      <c r="D415" s="9" t="n"/>
      <c r="E415" s="10" t="n"/>
      <c r="F415" s="8" t="n"/>
      <c r="G415" s="9">
        <f>IF(I415="Settled","",MAX(0,TODAY()-F415))</f>
        <v/>
      </c>
      <c r="H415" s="9">
        <f>IF(E415="","",TEXT(E415,"0.00")&amp;"|"&amp;IF(B415="Invoice","AR","AP"))</f>
        <v/>
      </c>
      <c r="I415" s="9">
        <f>IF(H415="","",IF(COUNTIF(Bank!$F:$F,H415)&gt;0,"Settled","Open"))</f>
        <v/>
      </c>
      <c r="J415" s="9">
        <f>IF(I415&lt;&gt;"Open","",IF(G415&lt;=0,"Current",IF(G415&lt;=30,"1-30",IF(G415&lt;=60,"31-60",IF(G415&lt;=90,"61-90","90+")))))</f>
        <v/>
      </c>
    </row>
    <row r="416">
      <c r="A416" s="8" t="n"/>
      <c r="B416" s="9" t="n"/>
      <c r="C416" s="9" t="n"/>
      <c r="D416" s="9" t="n"/>
      <c r="E416" s="10" t="n"/>
      <c r="F416" s="8" t="n"/>
      <c r="G416" s="9">
        <f>IF(I416="Settled","",MAX(0,TODAY()-F416))</f>
        <v/>
      </c>
      <c r="H416" s="9">
        <f>IF(E416="","",TEXT(E416,"0.00")&amp;"|"&amp;IF(B416="Invoice","AR","AP"))</f>
        <v/>
      </c>
      <c r="I416" s="9">
        <f>IF(H416="","",IF(COUNTIF(Bank!$F:$F,H416)&gt;0,"Settled","Open"))</f>
        <v/>
      </c>
      <c r="J416" s="9">
        <f>IF(I416&lt;&gt;"Open","",IF(G416&lt;=0,"Current",IF(G416&lt;=30,"1-30",IF(G416&lt;=60,"31-60",IF(G416&lt;=90,"61-90","90+")))))</f>
        <v/>
      </c>
    </row>
    <row r="417">
      <c r="A417" s="8" t="n"/>
      <c r="B417" s="9" t="n"/>
      <c r="C417" s="9" t="n"/>
      <c r="D417" s="9" t="n"/>
      <c r="E417" s="10" t="n"/>
      <c r="F417" s="8" t="n"/>
      <c r="G417" s="9">
        <f>IF(I417="Settled","",MAX(0,TODAY()-F417))</f>
        <v/>
      </c>
      <c r="H417" s="9">
        <f>IF(E417="","",TEXT(E417,"0.00")&amp;"|"&amp;IF(B417="Invoice","AR","AP"))</f>
        <v/>
      </c>
      <c r="I417" s="9">
        <f>IF(H417="","",IF(COUNTIF(Bank!$F:$F,H417)&gt;0,"Settled","Open"))</f>
        <v/>
      </c>
      <c r="J417" s="9">
        <f>IF(I417&lt;&gt;"Open","",IF(G417&lt;=0,"Current",IF(G417&lt;=30,"1-30",IF(G417&lt;=60,"31-60",IF(G417&lt;=90,"61-90","90+")))))</f>
        <v/>
      </c>
    </row>
    <row r="418">
      <c r="A418" s="8" t="n"/>
      <c r="B418" s="9" t="n"/>
      <c r="C418" s="9" t="n"/>
      <c r="D418" s="9" t="n"/>
      <c r="E418" s="10" t="n"/>
      <c r="F418" s="8" t="n"/>
      <c r="G418" s="9">
        <f>IF(I418="Settled","",MAX(0,TODAY()-F418))</f>
        <v/>
      </c>
      <c r="H418" s="9">
        <f>IF(E418="","",TEXT(E418,"0.00")&amp;"|"&amp;IF(B418="Invoice","AR","AP"))</f>
        <v/>
      </c>
      <c r="I418" s="9">
        <f>IF(H418="","",IF(COUNTIF(Bank!$F:$F,H418)&gt;0,"Settled","Open"))</f>
        <v/>
      </c>
      <c r="J418" s="9">
        <f>IF(I418&lt;&gt;"Open","",IF(G418&lt;=0,"Current",IF(G418&lt;=30,"1-30",IF(G418&lt;=60,"31-60",IF(G418&lt;=90,"61-90","90+")))))</f>
        <v/>
      </c>
    </row>
    <row r="419">
      <c r="A419" s="8" t="n"/>
      <c r="B419" s="9" t="n"/>
      <c r="C419" s="9" t="n"/>
      <c r="D419" s="9" t="n"/>
      <c r="E419" s="10" t="n"/>
      <c r="F419" s="8" t="n"/>
      <c r="G419" s="9">
        <f>IF(I419="Settled","",MAX(0,TODAY()-F419))</f>
        <v/>
      </c>
      <c r="H419" s="9">
        <f>IF(E419="","",TEXT(E419,"0.00")&amp;"|"&amp;IF(B419="Invoice","AR","AP"))</f>
        <v/>
      </c>
      <c r="I419" s="9">
        <f>IF(H419="","",IF(COUNTIF(Bank!$F:$F,H419)&gt;0,"Settled","Open"))</f>
        <v/>
      </c>
      <c r="J419" s="9">
        <f>IF(I419&lt;&gt;"Open","",IF(G419&lt;=0,"Current",IF(G419&lt;=30,"1-30",IF(G419&lt;=60,"31-60",IF(G419&lt;=90,"61-90","90+")))))</f>
        <v/>
      </c>
    </row>
    <row r="420">
      <c r="A420" s="8" t="n"/>
      <c r="B420" s="9" t="n"/>
      <c r="C420" s="9" t="n"/>
      <c r="D420" s="9" t="n"/>
      <c r="E420" s="10" t="n"/>
      <c r="F420" s="8" t="n"/>
      <c r="G420" s="9">
        <f>IF(I420="Settled","",MAX(0,TODAY()-F420))</f>
        <v/>
      </c>
      <c r="H420" s="9">
        <f>IF(E420="","",TEXT(E420,"0.00")&amp;"|"&amp;IF(B420="Invoice","AR","AP"))</f>
        <v/>
      </c>
      <c r="I420" s="9">
        <f>IF(H420="","",IF(COUNTIF(Bank!$F:$F,H420)&gt;0,"Settled","Open"))</f>
        <v/>
      </c>
      <c r="J420" s="9">
        <f>IF(I420&lt;&gt;"Open","",IF(G420&lt;=0,"Current",IF(G420&lt;=30,"1-30",IF(G420&lt;=60,"31-60",IF(G420&lt;=90,"61-90","90+")))))</f>
        <v/>
      </c>
    </row>
    <row r="421">
      <c r="A421" s="8" t="n"/>
      <c r="B421" s="9" t="n"/>
      <c r="C421" s="9" t="n"/>
      <c r="D421" s="9" t="n"/>
      <c r="E421" s="10" t="n"/>
      <c r="F421" s="8" t="n"/>
      <c r="G421" s="9">
        <f>IF(I421="Settled","",MAX(0,TODAY()-F421))</f>
        <v/>
      </c>
      <c r="H421" s="9">
        <f>IF(E421="","",TEXT(E421,"0.00")&amp;"|"&amp;IF(B421="Invoice","AR","AP"))</f>
        <v/>
      </c>
      <c r="I421" s="9">
        <f>IF(H421="","",IF(COUNTIF(Bank!$F:$F,H421)&gt;0,"Settled","Open"))</f>
        <v/>
      </c>
      <c r="J421" s="9">
        <f>IF(I421&lt;&gt;"Open","",IF(G421&lt;=0,"Current",IF(G421&lt;=30,"1-30",IF(G421&lt;=60,"31-60",IF(G421&lt;=90,"61-90","90+")))))</f>
        <v/>
      </c>
    </row>
    <row r="422">
      <c r="A422" s="8" t="n"/>
      <c r="B422" s="9" t="n"/>
      <c r="C422" s="9" t="n"/>
      <c r="D422" s="9" t="n"/>
      <c r="E422" s="10" t="n"/>
      <c r="F422" s="8" t="n"/>
      <c r="G422" s="9">
        <f>IF(I422="Settled","",MAX(0,TODAY()-F422))</f>
        <v/>
      </c>
      <c r="H422" s="9">
        <f>IF(E422="","",TEXT(E422,"0.00")&amp;"|"&amp;IF(B422="Invoice","AR","AP"))</f>
        <v/>
      </c>
      <c r="I422" s="9">
        <f>IF(H422="","",IF(COUNTIF(Bank!$F:$F,H422)&gt;0,"Settled","Open"))</f>
        <v/>
      </c>
      <c r="J422" s="9">
        <f>IF(I422&lt;&gt;"Open","",IF(G422&lt;=0,"Current",IF(G422&lt;=30,"1-30",IF(G422&lt;=60,"31-60",IF(G422&lt;=90,"61-90","90+")))))</f>
        <v/>
      </c>
    </row>
    <row r="423">
      <c r="A423" s="8" t="n"/>
      <c r="B423" s="9" t="n"/>
      <c r="C423" s="9" t="n"/>
      <c r="D423" s="9" t="n"/>
      <c r="E423" s="10" t="n"/>
      <c r="F423" s="8" t="n"/>
      <c r="G423" s="9">
        <f>IF(I423="Settled","",MAX(0,TODAY()-F423))</f>
        <v/>
      </c>
      <c r="H423" s="9">
        <f>IF(E423="","",TEXT(E423,"0.00")&amp;"|"&amp;IF(B423="Invoice","AR","AP"))</f>
        <v/>
      </c>
      <c r="I423" s="9">
        <f>IF(H423="","",IF(COUNTIF(Bank!$F:$F,H423)&gt;0,"Settled","Open"))</f>
        <v/>
      </c>
      <c r="J423" s="9">
        <f>IF(I423&lt;&gt;"Open","",IF(G423&lt;=0,"Current",IF(G423&lt;=30,"1-30",IF(G423&lt;=60,"31-60",IF(G423&lt;=90,"61-90","90+")))))</f>
        <v/>
      </c>
    </row>
    <row r="424">
      <c r="A424" s="8" t="n"/>
      <c r="B424" s="9" t="n"/>
      <c r="C424" s="9" t="n"/>
      <c r="D424" s="9" t="n"/>
      <c r="E424" s="10" t="n"/>
      <c r="F424" s="8" t="n"/>
      <c r="G424" s="9">
        <f>IF(I424="Settled","",MAX(0,TODAY()-F424))</f>
        <v/>
      </c>
      <c r="H424" s="9">
        <f>IF(E424="","",TEXT(E424,"0.00")&amp;"|"&amp;IF(B424="Invoice","AR","AP"))</f>
        <v/>
      </c>
      <c r="I424" s="9">
        <f>IF(H424="","",IF(COUNTIF(Bank!$F:$F,H424)&gt;0,"Settled","Open"))</f>
        <v/>
      </c>
      <c r="J424" s="9">
        <f>IF(I424&lt;&gt;"Open","",IF(G424&lt;=0,"Current",IF(G424&lt;=30,"1-30",IF(G424&lt;=60,"31-60",IF(G424&lt;=90,"61-90","90+")))))</f>
        <v/>
      </c>
    </row>
    <row r="425">
      <c r="A425" s="8" t="n"/>
      <c r="B425" s="9" t="n"/>
      <c r="C425" s="9" t="n"/>
      <c r="D425" s="9" t="n"/>
      <c r="E425" s="10" t="n"/>
      <c r="F425" s="8" t="n"/>
      <c r="G425" s="9">
        <f>IF(I425="Settled","",MAX(0,TODAY()-F425))</f>
        <v/>
      </c>
      <c r="H425" s="9">
        <f>IF(E425="","",TEXT(E425,"0.00")&amp;"|"&amp;IF(B425="Invoice","AR","AP"))</f>
        <v/>
      </c>
      <c r="I425" s="9">
        <f>IF(H425="","",IF(COUNTIF(Bank!$F:$F,H425)&gt;0,"Settled","Open"))</f>
        <v/>
      </c>
      <c r="J425" s="9">
        <f>IF(I425&lt;&gt;"Open","",IF(G425&lt;=0,"Current",IF(G425&lt;=30,"1-30",IF(G425&lt;=60,"31-60",IF(G425&lt;=90,"61-90","90+")))))</f>
        <v/>
      </c>
    </row>
    <row r="426">
      <c r="A426" s="8" t="n"/>
      <c r="B426" s="9" t="n"/>
      <c r="C426" s="9" t="n"/>
      <c r="D426" s="9" t="n"/>
      <c r="E426" s="10" t="n"/>
      <c r="F426" s="8" t="n"/>
      <c r="G426" s="9">
        <f>IF(I426="Settled","",MAX(0,TODAY()-F426))</f>
        <v/>
      </c>
      <c r="H426" s="9">
        <f>IF(E426="","",TEXT(E426,"0.00")&amp;"|"&amp;IF(B426="Invoice","AR","AP"))</f>
        <v/>
      </c>
      <c r="I426" s="9">
        <f>IF(H426="","",IF(COUNTIF(Bank!$F:$F,H426)&gt;0,"Settled","Open"))</f>
        <v/>
      </c>
      <c r="J426" s="9">
        <f>IF(I426&lt;&gt;"Open","",IF(G426&lt;=0,"Current",IF(G426&lt;=30,"1-30",IF(G426&lt;=60,"31-60",IF(G426&lt;=90,"61-90","90+")))))</f>
        <v/>
      </c>
    </row>
    <row r="427">
      <c r="A427" s="8" t="n"/>
      <c r="B427" s="9" t="n"/>
      <c r="C427" s="9" t="n"/>
      <c r="D427" s="9" t="n"/>
      <c r="E427" s="10" t="n"/>
      <c r="F427" s="8" t="n"/>
      <c r="G427" s="9">
        <f>IF(I427="Settled","",MAX(0,TODAY()-F427))</f>
        <v/>
      </c>
      <c r="H427" s="9">
        <f>IF(E427="","",TEXT(E427,"0.00")&amp;"|"&amp;IF(B427="Invoice","AR","AP"))</f>
        <v/>
      </c>
      <c r="I427" s="9">
        <f>IF(H427="","",IF(COUNTIF(Bank!$F:$F,H427)&gt;0,"Settled","Open"))</f>
        <v/>
      </c>
      <c r="J427" s="9">
        <f>IF(I427&lt;&gt;"Open","",IF(G427&lt;=0,"Current",IF(G427&lt;=30,"1-30",IF(G427&lt;=60,"31-60",IF(G427&lt;=90,"61-90","90+")))))</f>
        <v/>
      </c>
    </row>
    <row r="428">
      <c r="A428" s="8" t="n"/>
      <c r="B428" s="9" t="n"/>
      <c r="C428" s="9" t="n"/>
      <c r="D428" s="9" t="n"/>
      <c r="E428" s="10" t="n"/>
      <c r="F428" s="8" t="n"/>
      <c r="G428" s="9">
        <f>IF(I428="Settled","",MAX(0,TODAY()-F428))</f>
        <v/>
      </c>
      <c r="H428" s="9">
        <f>IF(E428="","",TEXT(E428,"0.00")&amp;"|"&amp;IF(B428="Invoice","AR","AP"))</f>
        <v/>
      </c>
      <c r="I428" s="9">
        <f>IF(H428="","",IF(COUNTIF(Bank!$F:$F,H428)&gt;0,"Settled","Open"))</f>
        <v/>
      </c>
      <c r="J428" s="9">
        <f>IF(I428&lt;&gt;"Open","",IF(G428&lt;=0,"Current",IF(G428&lt;=30,"1-30",IF(G428&lt;=60,"31-60",IF(G428&lt;=90,"61-90","90+")))))</f>
        <v/>
      </c>
    </row>
    <row r="429">
      <c r="A429" s="8" t="n"/>
      <c r="B429" s="9" t="n"/>
      <c r="C429" s="9" t="n"/>
      <c r="D429" s="9" t="n"/>
      <c r="E429" s="10" t="n"/>
      <c r="F429" s="8" t="n"/>
      <c r="G429" s="9">
        <f>IF(I429="Settled","",MAX(0,TODAY()-F429))</f>
        <v/>
      </c>
      <c r="H429" s="9">
        <f>IF(E429="","",TEXT(E429,"0.00")&amp;"|"&amp;IF(B429="Invoice","AR","AP"))</f>
        <v/>
      </c>
      <c r="I429" s="9">
        <f>IF(H429="","",IF(COUNTIF(Bank!$F:$F,H429)&gt;0,"Settled","Open"))</f>
        <v/>
      </c>
      <c r="J429" s="9">
        <f>IF(I429&lt;&gt;"Open","",IF(G429&lt;=0,"Current",IF(G429&lt;=30,"1-30",IF(G429&lt;=60,"31-60",IF(G429&lt;=90,"61-90","90+")))))</f>
        <v/>
      </c>
    </row>
    <row r="430">
      <c r="A430" s="8" t="n"/>
      <c r="B430" s="9" t="n"/>
      <c r="C430" s="9" t="n"/>
      <c r="D430" s="9" t="n"/>
      <c r="E430" s="10" t="n"/>
      <c r="F430" s="8" t="n"/>
      <c r="G430" s="9">
        <f>IF(I430="Settled","",MAX(0,TODAY()-F430))</f>
        <v/>
      </c>
      <c r="H430" s="9">
        <f>IF(E430="","",TEXT(E430,"0.00")&amp;"|"&amp;IF(B430="Invoice","AR","AP"))</f>
        <v/>
      </c>
      <c r="I430" s="9">
        <f>IF(H430="","",IF(COUNTIF(Bank!$F:$F,H430)&gt;0,"Settled","Open"))</f>
        <v/>
      </c>
      <c r="J430" s="9">
        <f>IF(I430&lt;&gt;"Open","",IF(G430&lt;=0,"Current",IF(G430&lt;=30,"1-30",IF(G430&lt;=60,"31-60",IF(G430&lt;=90,"61-90","90+")))))</f>
        <v/>
      </c>
    </row>
    <row r="431">
      <c r="A431" s="8" t="n"/>
      <c r="B431" s="9" t="n"/>
      <c r="C431" s="9" t="n"/>
      <c r="D431" s="9" t="n"/>
      <c r="E431" s="10" t="n"/>
      <c r="F431" s="8" t="n"/>
      <c r="G431" s="9">
        <f>IF(I431="Settled","",MAX(0,TODAY()-F431))</f>
        <v/>
      </c>
      <c r="H431" s="9">
        <f>IF(E431="","",TEXT(E431,"0.00")&amp;"|"&amp;IF(B431="Invoice","AR","AP"))</f>
        <v/>
      </c>
      <c r="I431" s="9">
        <f>IF(H431="","",IF(COUNTIF(Bank!$F:$F,H431)&gt;0,"Settled","Open"))</f>
        <v/>
      </c>
      <c r="J431" s="9">
        <f>IF(I431&lt;&gt;"Open","",IF(G431&lt;=0,"Current",IF(G431&lt;=30,"1-30",IF(G431&lt;=60,"31-60",IF(G431&lt;=90,"61-90","90+")))))</f>
        <v/>
      </c>
    </row>
    <row r="432">
      <c r="A432" s="8" t="n"/>
      <c r="B432" s="9" t="n"/>
      <c r="C432" s="9" t="n"/>
      <c r="D432" s="9" t="n"/>
      <c r="E432" s="10" t="n"/>
      <c r="F432" s="8" t="n"/>
      <c r="G432" s="9">
        <f>IF(I432="Settled","",MAX(0,TODAY()-F432))</f>
        <v/>
      </c>
      <c r="H432" s="9">
        <f>IF(E432="","",TEXT(E432,"0.00")&amp;"|"&amp;IF(B432="Invoice","AR","AP"))</f>
        <v/>
      </c>
      <c r="I432" s="9">
        <f>IF(H432="","",IF(COUNTIF(Bank!$F:$F,H432)&gt;0,"Settled","Open"))</f>
        <v/>
      </c>
      <c r="J432" s="9">
        <f>IF(I432&lt;&gt;"Open","",IF(G432&lt;=0,"Current",IF(G432&lt;=30,"1-30",IF(G432&lt;=60,"31-60",IF(G432&lt;=90,"61-90","90+")))))</f>
        <v/>
      </c>
    </row>
    <row r="433">
      <c r="A433" s="8" t="n"/>
      <c r="B433" s="9" t="n"/>
      <c r="C433" s="9" t="n"/>
      <c r="D433" s="9" t="n"/>
      <c r="E433" s="10" t="n"/>
      <c r="F433" s="8" t="n"/>
      <c r="G433" s="9">
        <f>IF(I433="Settled","",MAX(0,TODAY()-F433))</f>
        <v/>
      </c>
      <c r="H433" s="9">
        <f>IF(E433="","",TEXT(E433,"0.00")&amp;"|"&amp;IF(B433="Invoice","AR","AP"))</f>
        <v/>
      </c>
      <c r="I433" s="9">
        <f>IF(H433="","",IF(COUNTIF(Bank!$F:$F,H433)&gt;0,"Settled","Open"))</f>
        <v/>
      </c>
      <c r="J433" s="9">
        <f>IF(I433&lt;&gt;"Open","",IF(G433&lt;=0,"Current",IF(G433&lt;=30,"1-30",IF(G433&lt;=60,"31-60",IF(G433&lt;=90,"61-90","90+")))))</f>
        <v/>
      </c>
    </row>
    <row r="434">
      <c r="A434" s="8" t="n"/>
      <c r="B434" s="9" t="n"/>
      <c r="C434" s="9" t="n"/>
      <c r="D434" s="9" t="n"/>
      <c r="E434" s="10" t="n"/>
      <c r="F434" s="8" t="n"/>
      <c r="G434" s="9">
        <f>IF(I434="Settled","",MAX(0,TODAY()-F434))</f>
        <v/>
      </c>
      <c r="H434" s="9">
        <f>IF(E434="","",TEXT(E434,"0.00")&amp;"|"&amp;IF(B434="Invoice","AR","AP"))</f>
        <v/>
      </c>
      <c r="I434" s="9">
        <f>IF(H434="","",IF(COUNTIF(Bank!$F:$F,H434)&gt;0,"Settled","Open"))</f>
        <v/>
      </c>
      <c r="J434" s="9">
        <f>IF(I434&lt;&gt;"Open","",IF(G434&lt;=0,"Current",IF(G434&lt;=30,"1-30",IF(G434&lt;=60,"31-60",IF(G434&lt;=90,"61-90","90+")))))</f>
        <v/>
      </c>
    </row>
    <row r="435">
      <c r="A435" s="8" t="n"/>
      <c r="B435" s="9" t="n"/>
      <c r="C435" s="9" t="n"/>
      <c r="D435" s="9" t="n"/>
      <c r="E435" s="10" t="n"/>
      <c r="F435" s="8" t="n"/>
      <c r="G435" s="9">
        <f>IF(I435="Settled","",MAX(0,TODAY()-F435))</f>
        <v/>
      </c>
      <c r="H435" s="9">
        <f>IF(E435="","",TEXT(E435,"0.00")&amp;"|"&amp;IF(B435="Invoice","AR","AP"))</f>
        <v/>
      </c>
      <c r="I435" s="9">
        <f>IF(H435="","",IF(COUNTIF(Bank!$F:$F,H435)&gt;0,"Settled","Open"))</f>
        <v/>
      </c>
      <c r="J435" s="9">
        <f>IF(I435&lt;&gt;"Open","",IF(G435&lt;=0,"Current",IF(G435&lt;=30,"1-30",IF(G435&lt;=60,"31-60",IF(G435&lt;=90,"61-90","90+")))))</f>
        <v/>
      </c>
    </row>
    <row r="436">
      <c r="A436" s="8" t="n"/>
      <c r="B436" s="9" t="n"/>
      <c r="C436" s="9" t="n"/>
      <c r="D436" s="9" t="n"/>
      <c r="E436" s="10" t="n"/>
      <c r="F436" s="8" t="n"/>
      <c r="G436" s="9">
        <f>IF(I436="Settled","",MAX(0,TODAY()-F436))</f>
        <v/>
      </c>
      <c r="H436" s="9">
        <f>IF(E436="","",TEXT(E436,"0.00")&amp;"|"&amp;IF(B436="Invoice","AR","AP"))</f>
        <v/>
      </c>
      <c r="I436" s="9">
        <f>IF(H436="","",IF(COUNTIF(Bank!$F:$F,H436)&gt;0,"Settled","Open"))</f>
        <v/>
      </c>
      <c r="J436" s="9">
        <f>IF(I436&lt;&gt;"Open","",IF(G436&lt;=0,"Current",IF(G436&lt;=30,"1-30",IF(G436&lt;=60,"31-60",IF(G436&lt;=90,"61-90","90+")))))</f>
        <v/>
      </c>
    </row>
    <row r="437">
      <c r="A437" s="8" t="n"/>
      <c r="B437" s="9" t="n"/>
      <c r="C437" s="9" t="n"/>
      <c r="D437" s="9" t="n"/>
      <c r="E437" s="10" t="n"/>
      <c r="F437" s="8" t="n"/>
      <c r="G437" s="9">
        <f>IF(I437="Settled","",MAX(0,TODAY()-F437))</f>
        <v/>
      </c>
      <c r="H437" s="9">
        <f>IF(E437="","",TEXT(E437,"0.00")&amp;"|"&amp;IF(B437="Invoice","AR","AP"))</f>
        <v/>
      </c>
      <c r="I437" s="9">
        <f>IF(H437="","",IF(COUNTIF(Bank!$F:$F,H437)&gt;0,"Settled","Open"))</f>
        <v/>
      </c>
      <c r="J437" s="9">
        <f>IF(I437&lt;&gt;"Open","",IF(G437&lt;=0,"Current",IF(G437&lt;=30,"1-30",IF(G437&lt;=60,"31-60",IF(G437&lt;=90,"61-90","90+")))))</f>
        <v/>
      </c>
    </row>
    <row r="438">
      <c r="A438" s="8" t="n"/>
      <c r="B438" s="9" t="n"/>
      <c r="C438" s="9" t="n"/>
      <c r="D438" s="9" t="n"/>
      <c r="E438" s="10" t="n"/>
      <c r="F438" s="8" t="n"/>
      <c r="G438" s="9">
        <f>IF(I438="Settled","",MAX(0,TODAY()-F438))</f>
        <v/>
      </c>
      <c r="H438" s="9">
        <f>IF(E438="","",TEXT(E438,"0.00")&amp;"|"&amp;IF(B438="Invoice","AR","AP"))</f>
        <v/>
      </c>
      <c r="I438" s="9">
        <f>IF(H438="","",IF(COUNTIF(Bank!$F:$F,H438)&gt;0,"Settled","Open"))</f>
        <v/>
      </c>
      <c r="J438" s="9">
        <f>IF(I438&lt;&gt;"Open","",IF(G438&lt;=0,"Current",IF(G438&lt;=30,"1-30",IF(G438&lt;=60,"31-60",IF(G438&lt;=90,"61-90","90+")))))</f>
        <v/>
      </c>
    </row>
    <row r="439">
      <c r="A439" s="8" t="n"/>
      <c r="B439" s="9" t="n"/>
      <c r="C439" s="9" t="n"/>
      <c r="D439" s="9" t="n"/>
      <c r="E439" s="10" t="n"/>
      <c r="F439" s="8" t="n"/>
      <c r="G439" s="9">
        <f>IF(I439="Settled","",MAX(0,TODAY()-F439))</f>
        <v/>
      </c>
      <c r="H439" s="9">
        <f>IF(E439="","",TEXT(E439,"0.00")&amp;"|"&amp;IF(B439="Invoice","AR","AP"))</f>
        <v/>
      </c>
      <c r="I439" s="9">
        <f>IF(H439="","",IF(COUNTIF(Bank!$F:$F,H439)&gt;0,"Settled","Open"))</f>
        <v/>
      </c>
      <c r="J439" s="9">
        <f>IF(I439&lt;&gt;"Open","",IF(G439&lt;=0,"Current",IF(G439&lt;=30,"1-30",IF(G439&lt;=60,"31-60",IF(G439&lt;=90,"61-90","90+")))))</f>
        <v/>
      </c>
    </row>
    <row r="440">
      <c r="A440" s="8" t="n"/>
      <c r="B440" s="9" t="n"/>
      <c r="C440" s="9" t="n"/>
      <c r="D440" s="9" t="n"/>
      <c r="E440" s="10" t="n"/>
      <c r="F440" s="8" t="n"/>
      <c r="G440" s="9">
        <f>IF(I440="Settled","",MAX(0,TODAY()-F440))</f>
        <v/>
      </c>
      <c r="H440" s="9">
        <f>IF(E440="","",TEXT(E440,"0.00")&amp;"|"&amp;IF(B440="Invoice","AR","AP"))</f>
        <v/>
      </c>
      <c r="I440" s="9">
        <f>IF(H440="","",IF(COUNTIF(Bank!$F:$F,H440)&gt;0,"Settled","Open"))</f>
        <v/>
      </c>
      <c r="J440" s="9">
        <f>IF(I440&lt;&gt;"Open","",IF(G440&lt;=0,"Current",IF(G440&lt;=30,"1-30",IF(G440&lt;=60,"31-60",IF(G440&lt;=90,"61-90","90+")))))</f>
        <v/>
      </c>
    </row>
    <row r="441">
      <c r="A441" s="8" t="n"/>
      <c r="B441" s="9" t="n"/>
      <c r="C441" s="9" t="n"/>
      <c r="D441" s="9" t="n"/>
      <c r="E441" s="10" t="n"/>
      <c r="F441" s="8" t="n"/>
      <c r="G441" s="9">
        <f>IF(I441="Settled","",MAX(0,TODAY()-F441))</f>
        <v/>
      </c>
      <c r="H441" s="9">
        <f>IF(E441="","",TEXT(E441,"0.00")&amp;"|"&amp;IF(B441="Invoice","AR","AP"))</f>
        <v/>
      </c>
      <c r="I441" s="9">
        <f>IF(H441="","",IF(COUNTIF(Bank!$F:$F,H441)&gt;0,"Settled","Open"))</f>
        <v/>
      </c>
      <c r="J441" s="9">
        <f>IF(I441&lt;&gt;"Open","",IF(G441&lt;=0,"Current",IF(G441&lt;=30,"1-30",IF(G441&lt;=60,"31-60",IF(G441&lt;=90,"61-90","90+")))))</f>
        <v/>
      </c>
    </row>
    <row r="442">
      <c r="A442" s="8" t="n"/>
      <c r="B442" s="9" t="n"/>
      <c r="C442" s="9" t="n"/>
      <c r="D442" s="9" t="n"/>
      <c r="E442" s="10" t="n"/>
      <c r="F442" s="8" t="n"/>
      <c r="G442" s="9">
        <f>IF(I442="Settled","",MAX(0,TODAY()-F442))</f>
        <v/>
      </c>
      <c r="H442" s="9">
        <f>IF(E442="","",TEXT(E442,"0.00")&amp;"|"&amp;IF(B442="Invoice","AR","AP"))</f>
        <v/>
      </c>
      <c r="I442" s="9">
        <f>IF(H442="","",IF(COUNTIF(Bank!$F:$F,H442)&gt;0,"Settled","Open"))</f>
        <v/>
      </c>
      <c r="J442" s="9">
        <f>IF(I442&lt;&gt;"Open","",IF(G442&lt;=0,"Current",IF(G442&lt;=30,"1-30",IF(G442&lt;=60,"31-60",IF(G442&lt;=90,"61-90","90+")))))</f>
        <v/>
      </c>
    </row>
    <row r="443">
      <c r="A443" s="8" t="n"/>
      <c r="B443" s="9" t="n"/>
      <c r="C443" s="9" t="n"/>
      <c r="D443" s="9" t="n"/>
      <c r="E443" s="10" t="n"/>
      <c r="F443" s="8" t="n"/>
      <c r="G443" s="9">
        <f>IF(I443="Settled","",MAX(0,TODAY()-F443))</f>
        <v/>
      </c>
      <c r="H443" s="9">
        <f>IF(E443="","",TEXT(E443,"0.00")&amp;"|"&amp;IF(B443="Invoice","AR","AP"))</f>
        <v/>
      </c>
      <c r="I443" s="9">
        <f>IF(H443="","",IF(COUNTIF(Bank!$F:$F,H443)&gt;0,"Settled","Open"))</f>
        <v/>
      </c>
      <c r="J443" s="9">
        <f>IF(I443&lt;&gt;"Open","",IF(G443&lt;=0,"Current",IF(G443&lt;=30,"1-30",IF(G443&lt;=60,"31-60",IF(G443&lt;=90,"61-90","90+")))))</f>
        <v/>
      </c>
    </row>
    <row r="444">
      <c r="A444" s="8" t="n"/>
      <c r="B444" s="9" t="n"/>
      <c r="C444" s="9" t="n"/>
      <c r="D444" s="9" t="n"/>
      <c r="E444" s="10" t="n"/>
      <c r="F444" s="8" t="n"/>
      <c r="G444" s="9">
        <f>IF(I444="Settled","",MAX(0,TODAY()-F444))</f>
        <v/>
      </c>
      <c r="H444" s="9">
        <f>IF(E444="","",TEXT(E444,"0.00")&amp;"|"&amp;IF(B444="Invoice","AR","AP"))</f>
        <v/>
      </c>
      <c r="I444" s="9">
        <f>IF(H444="","",IF(COUNTIF(Bank!$F:$F,H444)&gt;0,"Settled","Open"))</f>
        <v/>
      </c>
      <c r="J444" s="9">
        <f>IF(I444&lt;&gt;"Open","",IF(G444&lt;=0,"Current",IF(G444&lt;=30,"1-30",IF(G444&lt;=60,"31-60",IF(G444&lt;=90,"61-90","90+")))))</f>
        <v/>
      </c>
    </row>
    <row r="445">
      <c r="A445" s="8" t="n"/>
      <c r="B445" s="9" t="n"/>
      <c r="C445" s="9" t="n"/>
      <c r="D445" s="9" t="n"/>
      <c r="E445" s="10" t="n"/>
      <c r="F445" s="8" t="n"/>
      <c r="G445" s="9">
        <f>IF(I445="Settled","",MAX(0,TODAY()-F445))</f>
        <v/>
      </c>
      <c r="H445" s="9">
        <f>IF(E445="","",TEXT(E445,"0.00")&amp;"|"&amp;IF(B445="Invoice","AR","AP"))</f>
        <v/>
      </c>
      <c r="I445" s="9">
        <f>IF(H445="","",IF(COUNTIF(Bank!$F:$F,H445)&gt;0,"Settled","Open"))</f>
        <v/>
      </c>
      <c r="J445" s="9">
        <f>IF(I445&lt;&gt;"Open","",IF(G445&lt;=0,"Current",IF(G445&lt;=30,"1-30",IF(G445&lt;=60,"31-60",IF(G445&lt;=90,"61-90","90+")))))</f>
        <v/>
      </c>
    </row>
    <row r="446">
      <c r="A446" s="8" t="n"/>
      <c r="B446" s="9" t="n"/>
      <c r="C446" s="9" t="n"/>
      <c r="D446" s="9" t="n"/>
      <c r="E446" s="10" t="n"/>
      <c r="F446" s="8" t="n"/>
      <c r="G446" s="9">
        <f>IF(I446="Settled","",MAX(0,TODAY()-F446))</f>
        <v/>
      </c>
      <c r="H446" s="9">
        <f>IF(E446="","",TEXT(E446,"0.00")&amp;"|"&amp;IF(B446="Invoice","AR","AP"))</f>
        <v/>
      </c>
      <c r="I446" s="9">
        <f>IF(H446="","",IF(COUNTIF(Bank!$F:$F,H446)&gt;0,"Settled","Open"))</f>
        <v/>
      </c>
      <c r="J446" s="9">
        <f>IF(I446&lt;&gt;"Open","",IF(G446&lt;=0,"Current",IF(G446&lt;=30,"1-30",IF(G446&lt;=60,"31-60",IF(G446&lt;=90,"61-90","90+")))))</f>
        <v/>
      </c>
    </row>
    <row r="447">
      <c r="A447" s="8" t="n"/>
      <c r="B447" s="9" t="n"/>
      <c r="C447" s="9" t="n"/>
      <c r="D447" s="9" t="n"/>
      <c r="E447" s="10" t="n"/>
      <c r="F447" s="8" t="n"/>
      <c r="G447" s="9">
        <f>IF(I447="Settled","",MAX(0,TODAY()-F447))</f>
        <v/>
      </c>
      <c r="H447" s="9">
        <f>IF(E447="","",TEXT(E447,"0.00")&amp;"|"&amp;IF(B447="Invoice","AR","AP"))</f>
        <v/>
      </c>
      <c r="I447" s="9">
        <f>IF(H447="","",IF(COUNTIF(Bank!$F:$F,H447)&gt;0,"Settled","Open"))</f>
        <v/>
      </c>
      <c r="J447" s="9">
        <f>IF(I447&lt;&gt;"Open","",IF(G447&lt;=0,"Current",IF(G447&lt;=30,"1-30",IF(G447&lt;=60,"31-60",IF(G447&lt;=90,"61-90","90+")))))</f>
        <v/>
      </c>
    </row>
    <row r="448">
      <c r="A448" s="8" t="n"/>
      <c r="B448" s="9" t="n"/>
      <c r="C448" s="9" t="n"/>
      <c r="D448" s="9" t="n"/>
      <c r="E448" s="10" t="n"/>
      <c r="F448" s="8" t="n"/>
      <c r="G448" s="9">
        <f>IF(I448="Settled","",MAX(0,TODAY()-F448))</f>
        <v/>
      </c>
      <c r="H448" s="9">
        <f>IF(E448="","",TEXT(E448,"0.00")&amp;"|"&amp;IF(B448="Invoice","AR","AP"))</f>
        <v/>
      </c>
      <c r="I448" s="9">
        <f>IF(H448="","",IF(COUNTIF(Bank!$F:$F,H448)&gt;0,"Settled","Open"))</f>
        <v/>
      </c>
      <c r="J448" s="9">
        <f>IF(I448&lt;&gt;"Open","",IF(G448&lt;=0,"Current",IF(G448&lt;=30,"1-30",IF(G448&lt;=60,"31-60",IF(G448&lt;=90,"61-90","90+")))))</f>
        <v/>
      </c>
    </row>
    <row r="449">
      <c r="A449" s="8" t="n"/>
      <c r="B449" s="9" t="n"/>
      <c r="C449" s="9" t="n"/>
      <c r="D449" s="9" t="n"/>
      <c r="E449" s="10" t="n"/>
      <c r="F449" s="8" t="n"/>
      <c r="G449" s="9">
        <f>IF(I449="Settled","",MAX(0,TODAY()-F449))</f>
        <v/>
      </c>
      <c r="H449" s="9">
        <f>IF(E449="","",TEXT(E449,"0.00")&amp;"|"&amp;IF(B449="Invoice","AR","AP"))</f>
        <v/>
      </c>
      <c r="I449" s="9">
        <f>IF(H449="","",IF(COUNTIF(Bank!$F:$F,H449)&gt;0,"Settled","Open"))</f>
        <v/>
      </c>
      <c r="J449" s="9">
        <f>IF(I449&lt;&gt;"Open","",IF(G449&lt;=0,"Current",IF(G449&lt;=30,"1-30",IF(G449&lt;=60,"31-60",IF(G449&lt;=90,"61-90","90+")))))</f>
        <v/>
      </c>
    </row>
    <row r="450">
      <c r="A450" s="8" t="n"/>
      <c r="B450" s="9" t="n"/>
      <c r="C450" s="9" t="n"/>
      <c r="D450" s="9" t="n"/>
      <c r="E450" s="10" t="n"/>
      <c r="F450" s="8" t="n"/>
      <c r="G450" s="9">
        <f>IF(I450="Settled","",MAX(0,TODAY()-F450))</f>
        <v/>
      </c>
      <c r="H450" s="9">
        <f>IF(E450="","",TEXT(E450,"0.00")&amp;"|"&amp;IF(B450="Invoice","AR","AP"))</f>
        <v/>
      </c>
      <c r="I450" s="9">
        <f>IF(H450="","",IF(COUNTIF(Bank!$F:$F,H450)&gt;0,"Settled","Open"))</f>
        <v/>
      </c>
      <c r="J450" s="9">
        <f>IF(I450&lt;&gt;"Open","",IF(G450&lt;=0,"Current",IF(G450&lt;=30,"1-30",IF(G450&lt;=60,"31-60",IF(G450&lt;=90,"61-90","90+")))))</f>
        <v/>
      </c>
    </row>
    <row r="451">
      <c r="A451" s="8" t="n"/>
      <c r="B451" s="9" t="n"/>
      <c r="C451" s="9" t="n"/>
      <c r="D451" s="9" t="n"/>
      <c r="E451" s="10" t="n"/>
      <c r="F451" s="8" t="n"/>
      <c r="G451" s="9">
        <f>IF(I451="Settled","",MAX(0,TODAY()-F451))</f>
        <v/>
      </c>
      <c r="H451" s="9">
        <f>IF(E451="","",TEXT(E451,"0.00")&amp;"|"&amp;IF(B451="Invoice","AR","AP"))</f>
        <v/>
      </c>
      <c r="I451" s="9">
        <f>IF(H451="","",IF(COUNTIF(Bank!$F:$F,H451)&gt;0,"Settled","Open"))</f>
        <v/>
      </c>
      <c r="J451" s="9">
        <f>IF(I451&lt;&gt;"Open","",IF(G451&lt;=0,"Current",IF(G451&lt;=30,"1-30",IF(G451&lt;=60,"31-60",IF(G451&lt;=90,"61-90","90+")))))</f>
        <v/>
      </c>
    </row>
    <row r="452">
      <c r="A452" s="8" t="n"/>
      <c r="B452" s="9" t="n"/>
      <c r="C452" s="9" t="n"/>
      <c r="D452" s="9" t="n"/>
      <c r="E452" s="10" t="n"/>
      <c r="F452" s="8" t="n"/>
      <c r="G452" s="9">
        <f>IF(I452="Settled","",MAX(0,TODAY()-F452))</f>
        <v/>
      </c>
      <c r="H452" s="9">
        <f>IF(E452="","",TEXT(E452,"0.00")&amp;"|"&amp;IF(B452="Invoice","AR","AP"))</f>
        <v/>
      </c>
      <c r="I452" s="9">
        <f>IF(H452="","",IF(COUNTIF(Bank!$F:$F,H452)&gt;0,"Settled","Open"))</f>
        <v/>
      </c>
      <c r="J452" s="9">
        <f>IF(I452&lt;&gt;"Open","",IF(G452&lt;=0,"Current",IF(G452&lt;=30,"1-30",IF(G452&lt;=60,"31-60",IF(G452&lt;=90,"61-90","90+")))))</f>
        <v/>
      </c>
    </row>
    <row r="453">
      <c r="A453" s="8" t="n"/>
      <c r="B453" s="9" t="n"/>
      <c r="C453" s="9" t="n"/>
      <c r="D453" s="9" t="n"/>
      <c r="E453" s="10" t="n"/>
      <c r="F453" s="8" t="n"/>
      <c r="G453" s="9">
        <f>IF(I453="Settled","",MAX(0,TODAY()-F453))</f>
        <v/>
      </c>
      <c r="H453" s="9">
        <f>IF(E453="","",TEXT(E453,"0.00")&amp;"|"&amp;IF(B453="Invoice","AR","AP"))</f>
        <v/>
      </c>
      <c r="I453" s="9">
        <f>IF(H453="","",IF(COUNTIF(Bank!$F:$F,H453)&gt;0,"Settled","Open"))</f>
        <v/>
      </c>
      <c r="J453" s="9">
        <f>IF(I453&lt;&gt;"Open","",IF(G453&lt;=0,"Current",IF(G453&lt;=30,"1-30",IF(G453&lt;=60,"31-60",IF(G453&lt;=90,"61-90","90+")))))</f>
        <v/>
      </c>
    </row>
    <row r="454">
      <c r="A454" s="8" t="n"/>
      <c r="B454" s="9" t="n"/>
      <c r="C454" s="9" t="n"/>
      <c r="D454" s="9" t="n"/>
      <c r="E454" s="10" t="n"/>
      <c r="F454" s="8" t="n"/>
      <c r="G454" s="9">
        <f>IF(I454="Settled","",MAX(0,TODAY()-F454))</f>
        <v/>
      </c>
      <c r="H454" s="9">
        <f>IF(E454="","",TEXT(E454,"0.00")&amp;"|"&amp;IF(B454="Invoice","AR","AP"))</f>
        <v/>
      </c>
      <c r="I454" s="9">
        <f>IF(H454="","",IF(COUNTIF(Bank!$F:$F,H454)&gt;0,"Settled","Open"))</f>
        <v/>
      </c>
      <c r="J454" s="9">
        <f>IF(I454&lt;&gt;"Open","",IF(G454&lt;=0,"Current",IF(G454&lt;=30,"1-30",IF(G454&lt;=60,"31-60",IF(G454&lt;=90,"61-90","90+")))))</f>
        <v/>
      </c>
    </row>
    <row r="455">
      <c r="A455" s="8" t="n"/>
      <c r="B455" s="9" t="n"/>
      <c r="C455" s="9" t="n"/>
      <c r="D455" s="9" t="n"/>
      <c r="E455" s="10" t="n"/>
      <c r="F455" s="8" t="n"/>
      <c r="G455" s="9">
        <f>IF(I455="Settled","",MAX(0,TODAY()-F455))</f>
        <v/>
      </c>
      <c r="H455" s="9">
        <f>IF(E455="","",TEXT(E455,"0.00")&amp;"|"&amp;IF(B455="Invoice","AR","AP"))</f>
        <v/>
      </c>
      <c r="I455" s="9">
        <f>IF(H455="","",IF(COUNTIF(Bank!$F:$F,H455)&gt;0,"Settled","Open"))</f>
        <v/>
      </c>
      <c r="J455" s="9">
        <f>IF(I455&lt;&gt;"Open","",IF(G455&lt;=0,"Current",IF(G455&lt;=30,"1-30",IF(G455&lt;=60,"31-60",IF(G455&lt;=90,"61-90","90+")))))</f>
        <v/>
      </c>
    </row>
    <row r="456">
      <c r="A456" s="8" t="n"/>
      <c r="B456" s="9" t="n"/>
      <c r="C456" s="9" t="n"/>
      <c r="D456" s="9" t="n"/>
      <c r="E456" s="10" t="n"/>
      <c r="F456" s="8" t="n"/>
      <c r="G456" s="9">
        <f>IF(I456="Settled","",MAX(0,TODAY()-F456))</f>
        <v/>
      </c>
      <c r="H456" s="9">
        <f>IF(E456="","",TEXT(E456,"0.00")&amp;"|"&amp;IF(B456="Invoice","AR","AP"))</f>
        <v/>
      </c>
      <c r="I456" s="9">
        <f>IF(H456="","",IF(COUNTIF(Bank!$F:$F,H456)&gt;0,"Settled","Open"))</f>
        <v/>
      </c>
      <c r="J456" s="9">
        <f>IF(I456&lt;&gt;"Open","",IF(G456&lt;=0,"Current",IF(G456&lt;=30,"1-30",IF(G456&lt;=60,"31-60",IF(G456&lt;=90,"61-90","90+")))))</f>
        <v/>
      </c>
    </row>
    <row r="457">
      <c r="A457" s="8" t="n"/>
      <c r="B457" s="9" t="n"/>
      <c r="C457" s="9" t="n"/>
      <c r="D457" s="9" t="n"/>
      <c r="E457" s="10" t="n"/>
      <c r="F457" s="8" t="n"/>
      <c r="G457" s="9">
        <f>IF(I457="Settled","",MAX(0,TODAY()-F457))</f>
        <v/>
      </c>
      <c r="H457" s="9">
        <f>IF(E457="","",TEXT(E457,"0.00")&amp;"|"&amp;IF(B457="Invoice","AR","AP"))</f>
        <v/>
      </c>
      <c r="I457" s="9">
        <f>IF(H457="","",IF(COUNTIF(Bank!$F:$F,H457)&gt;0,"Settled","Open"))</f>
        <v/>
      </c>
      <c r="J457" s="9">
        <f>IF(I457&lt;&gt;"Open","",IF(G457&lt;=0,"Current",IF(G457&lt;=30,"1-30",IF(G457&lt;=60,"31-60",IF(G457&lt;=90,"61-90","90+")))))</f>
        <v/>
      </c>
    </row>
    <row r="458">
      <c r="A458" s="8" t="n"/>
      <c r="B458" s="9" t="n"/>
      <c r="C458" s="9" t="n"/>
      <c r="D458" s="9" t="n"/>
      <c r="E458" s="10" t="n"/>
      <c r="F458" s="8" t="n"/>
      <c r="G458" s="9">
        <f>IF(I458="Settled","",MAX(0,TODAY()-F458))</f>
        <v/>
      </c>
      <c r="H458" s="9">
        <f>IF(E458="","",TEXT(E458,"0.00")&amp;"|"&amp;IF(B458="Invoice","AR","AP"))</f>
        <v/>
      </c>
      <c r="I458" s="9">
        <f>IF(H458="","",IF(COUNTIF(Bank!$F:$F,H458)&gt;0,"Settled","Open"))</f>
        <v/>
      </c>
      <c r="J458" s="9">
        <f>IF(I458&lt;&gt;"Open","",IF(G458&lt;=0,"Current",IF(G458&lt;=30,"1-30",IF(G458&lt;=60,"31-60",IF(G458&lt;=90,"61-90","90+")))))</f>
        <v/>
      </c>
    </row>
    <row r="459">
      <c r="A459" s="8" t="n"/>
      <c r="B459" s="9" t="n"/>
      <c r="C459" s="9" t="n"/>
      <c r="D459" s="9" t="n"/>
      <c r="E459" s="10" t="n"/>
      <c r="F459" s="8" t="n"/>
      <c r="G459" s="9">
        <f>IF(I459="Settled","",MAX(0,TODAY()-F459))</f>
        <v/>
      </c>
      <c r="H459" s="9">
        <f>IF(E459="","",TEXT(E459,"0.00")&amp;"|"&amp;IF(B459="Invoice","AR","AP"))</f>
        <v/>
      </c>
      <c r="I459" s="9">
        <f>IF(H459="","",IF(COUNTIF(Bank!$F:$F,H459)&gt;0,"Settled","Open"))</f>
        <v/>
      </c>
      <c r="J459" s="9">
        <f>IF(I459&lt;&gt;"Open","",IF(G459&lt;=0,"Current",IF(G459&lt;=30,"1-30",IF(G459&lt;=60,"31-60",IF(G459&lt;=90,"61-90","90+")))))</f>
        <v/>
      </c>
    </row>
    <row r="460">
      <c r="A460" s="8" t="n"/>
      <c r="B460" s="9" t="n"/>
      <c r="C460" s="9" t="n"/>
      <c r="D460" s="9" t="n"/>
      <c r="E460" s="10" t="n"/>
      <c r="F460" s="8" t="n"/>
      <c r="G460" s="9">
        <f>IF(I460="Settled","",MAX(0,TODAY()-F460))</f>
        <v/>
      </c>
      <c r="H460" s="9">
        <f>IF(E460="","",TEXT(E460,"0.00")&amp;"|"&amp;IF(B460="Invoice","AR","AP"))</f>
        <v/>
      </c>
      <c r="I460" s="9">
        <f>IF(H460="","",IF(COUNTIF(Bank!$F:$F,H460)&gt;0,"Settled","Open"))</f>
        <v/>
      </c>
      <c r="J460" s="9">
        <f>IF(I460&lt;&gt;"Open","",IF(G460&lt;=0,"Current",IF(G460&lt;=30,"1-30",IF(G460&lt;=60,"31-60",IF(G460&lt;=90,"61-90","90+")))))</f>
        <v/>
      </c>
    </row>
    <row r="461">
      <c r="A461" s="8" t="n"/>
      <c r="B461" s="9" t="n"/>
      <c r="C461" s="9" t="n"/>
      <c r="D461" s="9" t="n"/>
      <c r="E461" s="10" t="n"/>
      <c r="F461" s="8" t="n"/>
      <c r="G461" s="9">
        <f>IF(I461="Settled","",MAX(0,TODAY()-F461))</f>
        <v/>
      </c>
      <c r="H461" s="9">
        <f>IF(E461="","",TEXT(E461,"0.00")&amp;"|"&amp;IF(B461="Invoice","AR","AP"))</f>
        <v/>
      </c>
      <c r="I461" s="9">
        <f>IF(H461="","",IF(COUNTIF(Bank!$F:$F,H461)&gt;0,"Settled","Open"))</f>
        <v/>
      </c>
      <c r="J461" s="9">
        <f>IF(I461&lt;&gt;"Open","",IF(G461&lt;=0,"Current",IF(G461&lt;=30,"1-30",IF(G461&lt;=60,"31-60",IF(G461&lt;=90,"61-90","90+")))))</f>
        <v/>
      </c>
    </row>
    <row r="462">
      <c r="A462" s="8" t="n"/>
      <c r="B462" s="9" t="n"/>
      <c r="C462" s="9" t="n"/>
      <c r="D462" s="9" t="n"/>
      <c r="E462" s="10" t="n"/>
      <c r="F462" s="8" t="n"/>
      <c r="G462" s="9">
        <f>IF(I462="Settled","",MAX(0,TODAY()-F462))</f>
        <v/>
      </c>
      <c r="H462" s="9">
        <f>IF(E462="","",TEXT(E462,"0.00")&amp;"|"&amp;IF(B462="Invoice","AR","AP"))</f>
        <v/>
      </c>
      <c r="I462" s="9">
        <f>IF(H462="","",IF(COUNTIF(Bank!$F:$F,H462)&gt;0,"Settled","Open"))</f>
        <v/>
      </c>
      <c r="J462" s="9">
        <f>IF(I462&lt;&gt;"Open","",IF(G462&lt;=0,"Current",IF(G462&lt;=30,"1-30",IF(G462&lt;=60,"31-60",IF(G462&lt;=90,"61-90","90+")))))</f>
        <v/>
      </c>
    </row>
    <row r="463">
      <c r="A463" s="8" t="n"/>
      <c r="B463" s="9" t="n"/>
      <c r="C463" s="9" t="n"/>
      <c r="D463" s="9" t="n"/>
      <c r="E463" s="10" t="n"/>
      <c r="F463" s="8" t="n"/>
      <c r="G463" s="9">
        <f>IF(I463="Settled","",MAX(0,TODAY()-F463))</f>
        <v/>
      </c>
      <c r="H463" s="9">
        <f>IF(E463="","",TEXT(E463,"0.00")&amp;"|"&amp;IF(B463="Invoice","AR","AP"))</f>
        <v/>
      </c>
      <c r="I463" s="9">
        <f>IF(H463="","",IF(COUNTIF(Bank!$F:$F,H463)&gt;0,"Settled","Open"))</f>
        <v/>
      </c>
      <c r="J463" s="9">
        <f>IF(I463&lt;&gt;"Open","",IF(G463&lt;=0,"Current",IF(G463&lt;=30,"1-30",IF(G463&lt;=60,"31-60",IF(G463&lt;=90,"61-90","90+")))))</f>
        <v/>
      </c>
    </row>
    <row r="464">
      <c r="A464" s="8" t="n"/>
      <c r="B464" s="9" t="n"/>
      <c r="C464" s="9" t="n"/>
      <c r="D464" s="9" t="n"/>
      <c r="E464" s="10" t="n"/>
      <c r="F464" s="8" t="n"/>
      <c r="G464" s="9">
        <f>IF(I464="Settled","",MAX(0,TODAY()-F464))</f>
        <v/>
      </c>
      <c r="H464" s="9">
        <f>IF(E464="","",TEXT(E464,"0.00")&amp;"|"&amp;IF(B464="Invoice","AR","AP"))</f>
        <v/>
      </c>
      <c r="I464" s="9">
        <f>IF(H464="","",IF(COUNTIF(Bank!$F:$F,H464)&gt;0,"Settled","Open"))</f>
        <v/>
      </c>
      <c r="J464" s="9">
        <f>IF(I464&lt;&gt;"Open","",IF(G464&lt;=0,"Current",IF(G464&lt;=30,"1-30",IF(G464&lt;=60,"31-60",IF(G464&lt;=90,"61-90","90+")))))</f>
        <v/>
      </c>
    </row>
    <row r="465">
      <c r="A465" s="8" t="n"/>
      <c r="B465" s="9" t="n"/>
      <c r="C465" s="9" t="n"/>
      <c r="D465" s="9" t="n"/>
      <c r="E465" s="10" t="n"/>
      <c r="F465" s="8" t="n"/>
      <c r="G465" s="9">
        <f>IF(I465="Settled","",MAX(0,TODAY()-F465))</f>
        <v/>
      </c>
      <c r="H465" s="9">
        <f>IF(E465="","",TEXT(E465,"0.00")&amp;"|"&amp;IF(B465="Invoice","AR","AP"))</f>
        <v/>
      </c>
      <c r="I465" s="9">
        <f>IF(H465="","",IF(COUNTIF(Bank!$F:$F,H465)&gt;0,"Settled","Open"))</f>
        <v/>
      </c>
      <c r="J465" s="9">
        <f>IF(I465&lt;&gt;"Open","",IF(G465&lt;=0,"Current",IF(G465&lt;=30,"1-30",IF(G465&lt;=60,"31-60",IF(G465&lt;=90,"61-90","90+")))))</f>
        <v/>
      </c>
    </row>
    <row r="466">
      <c r="A466" s="8" t="n"/>
      <c r="B466" s="9" t="n"/>
      <c r="C466" s="9" t="n"/>
      <c r="D466" s="9" t="n"/>
      <c r="E466" s="10" t="n"/>
      <c r="F466" s="8" t="n"/>
      <c r="G466" s="9">
        <f>IF(I466="Settled","",MAX(0,TODAY()-F466))</f>
        <v/>
      </c>
      <c r="H466" s="9">
        <f>IF(E466="","",TEXT(E466,"0.00")&amp;"|"&amp;IF(B466="Invoice","AR","AP"))</f>
        <v/>
      </c>
      <c r="I466" s="9">
        <f>IF(H466="","",IF(COUNTIF(Bank!$F:$F,H466)&gt;0,"Settled","Open"))</f>
        <v/>
      </c>
      <c r="J466" s="9">
        <f>IF(I466&lt;&gt;"Open","",IF(G466&lt;=0,"Current",IF(G466&lt;=30,"1-30",IF(G466&lt;=60,"31-60",IF(G466&lt;=90,"61-90","90+")))))</f>
        <v/>
      </c>
    </row>
    <row r="467">
      <c r="A467" s="8" t="n"/>
      <c r="B467" s="9" t="n"/>
      <c r="C467" s="9" t="n"/>
      <c r="D467" s="9" t="n"/>
      <c r="E467" s="10" t="n"/>
      <c r="F467" s="8" t="n"/>
      <c r="G467" s="9">
        <f>IF(I467="Settled","",MAX(0,TODAY()-F467))</f>
        <v/>
      </c>
      <c r="H467" s="9">
        <f>IF(E467="","",TEXT(E467,"0.00")&amp;"|"&amp;IF(B467="Invoice","AR","AP"))</f>
        <v/>
      </c>
      <c r="I467" s="9">
        <f>IF(H467="","",IF(COUNTIF(Bank!$F:$F,H467)&gt;0,"Settled","Open"))</f>
        <v/>
      </c>
      <c r="J467" s="9">
        <f>IF(I467&lt;&gt;"Open","",IF(G467&lt;=0,"Current",IF(G467&lt;=30,"1-30",IF(G467&lt;=60,"31-60",IF(G467&lt;=90,"61-90","90+")))))</f>
        <v/>
      </c>
    </row>
    <row r="468">
      <c r="A468" s="8" t="n"/>
      <c r="B468" s="9" t="n"/>
      <c r="C468" s="9" t="n"/>
      <c r="D468" s="9" t="n"/>
      <c r="E468" s="10" t="n"/>
      <c r="F468" s="8" t="n"/>
      <c r="G468" s="9">
        <f>IF(I468="Settled","",MAX(0,TODAY()-F468))</f>
        <v/>
      </c>
      <c r="H468" s="9">
        <f>IF(E468="","",TEXT(E468,"0.00")&amp;"|"&amp;IF(B468="Invoice","AR","AP"))</f>
        <v/>
      </c>
      <c r="I468" s="9">
        <f>IF(H468="","",IF(COUNTIF(Bank!$F:$F,H468)&gt;0,"Settled","Open"))</f>
        <v/>
      </c>
      <c r="J468" s="9">
        <f>IF(I468&lt;&gt;"Open","",IF(G468&lt;=0,"Current",IF(G468&lt;=30,"1-30",IF(G468&lt;=60,"31-60",IF(G468&lt;=90,"61-90","90+")))))</f>
        <v/>
      </c>
    </row>
    <row r="469">
      <c r="A469" s="8" t="n"/>
      <c r="B469" s="9" t="n"/>
      <c r="C469" s="9" t="n"/>
      <c r="D469" s="9" t="n"/>
      <c r="E469" s="10" t="n"/>
      <c r="F469" s="8" t="n"/>
      <c r="G469" s="9">
        <f>IF(I469="Settled","",MAX(0,TODAY()-F469))</f>
        <v/>
      </c>
      <c r="H469" s="9">
        <f>IF(E469="","",TEXT(E469,"0.00")&amp;"|"&amp;IF(B469="Invoice","AR","AP"))</f>
        <v/>
      </c>
      <c r="I469" s="9">
        <f>IF(H469="","",IF(COUNTIF(Bank!$F:$F,H469)&gt;0,"Settled","Open"))</f>
        <v/>
      </c>
      <c r="J469" s="9">
        <f>IF(I469&lt;&gt;"Open","",IF(G469&lt;=0,"Current",IF(G469&lt;=30,"1-30",IF(G469&lt;=60,"31-60",IF(G469&lt;=90,"61-90","90+")))))</f>
        <v/>
      </c>
    </row>
    <row r="470">
      <c r="A470" s="8" t="n"/>
      <c r="B470" s="9" t="n"/>
      <c r="C470" s="9" t="n"/>
      <c r="D470" s="9" t="n"/>
      <c r="E470" s="10" t="n"/>
      <c r="F470" s="8" t="n"/>
      <c r="G470" s="9">
        <f>IF(I470="Settled","",MAX(0,TODAY()-F470))</f>
        <v/>
      </c>
      <c r="H470" s="9">
        <f>IF(E470="","",TEXT(E470,"0.00")&amp;"|"&amp;IF(B470="Invoice","AR","AP"))</f>
        <v/>
      </c>
      <c r="I470" s="9">
        <f>IF(H470="","",IF(COUNTIF(Bank!$F:$F,H470)&gt;0,"Settled","Open"))</f>
        <v/>
      </c>
      <c r="J470" s="9">
        <f>IF(I470&lt;&gt;"Open","",IF(G470&lt;=0,"Current",IF(G470&lt;=30,"1-30",IF(G470&lt;=60,"31-60",IF(G470&lt;=90,"61-90","90+")))))</f>
        <v/>
      </c>
    </row>
    <row r="471">
      <c r="A471" s="8" t="n"/>
      <c r="B471" s="9" t="n"/>
      <c r="C471" s="9" t="n"/>
      <c r="D471" s="9" t="n"/>
      <c r="E471" s="10" t="n"/>
      <c r="F471" s="8" t="n"/>
      <c r="G471" s="9">
        <f>IF(I471="Settled","",MAX(0,TODAY()-F471))</f>
        <v/>
      </c>
      <c r="H471" s="9">
        <f>IF(E471="","",TEXT(E471,"0.00")&amp;"|"&amp;IF(B471="Invoice","AR","AP"))</f>
        <v/>
      </c>
      <c r="I471" s="9">
        <f>IF(H471="","",IF(COUNTIF(Bank!$F:$F,H471)&gt;0,"Settled","Open"))</f>
        <v/>
      </c>
      <c r="J471" s="9">
        <f>IF(I471&lt;&gt;"Open","",IF(G471&lt;=0,"Current",IF(G471&lt;=30,"1-30",IF(G471&lt;=60,"31-60",IF(G471&lt;=90,"61-90","90+")))))</f>
        <v/>
      </c>
    </row>
    <row r="472">
      <c r="A472" s="8" t="n"/>
      <c r="B472" s="9" t="n"/>
      <c r="C472" s="9" t="n"/>
      <c r="D472" s="9" t="n"/>
      <c r="E472" s="10" t="n"/>
      <c r="F472" s="8" t="n"/>
      <c r="G472" s="9">
        <f>IF(I472="Settled","",MAX(0,TODAY()-F472))</f>
        <v/>
      </c>
      <c r="H472" s="9">
        <f>IF(E472="","",TEXT(E472,"0.00")&amp;"|"&amp;IF(B472="Invoice","AR","AP"))</f>
        <v/>
      </c>
      <c r="I472" s="9">
        <f>IF(H472="","",IF(COUNTIF(Bank!$F:$F,H472)&gt;0,"Settled","Open"))</f>
        <v/>
      </c>
      <c r="J472" s="9">
        <f>IF(I472&lt;&gt;"Open","",IF(G472&lt;=0,"Current",IF(G472&lt;=30,"1-30",IF(G472&lt;=60,"31-60",IF(G472&lt;=90,"61-90","90+")))))</f>
        <v/>
      </c>
    </row>
    <row r="473">
      <c r="A473" s="8" t="n"/>
      <c r="B473" s="9" t="n"/>
      <c r="C473" s="9" t="n"/>
      <c r="D473" s="9" t="n"/>
      <c r="E473" s="10" t="n"/>
      <c r="F473" s="8" t="n"/>
      <c r="G473" s="9">
        <f>IF(I473="Settled","",MAX(0,TODAY()-F473))</f>
        <v/>
      </c>
      <c r="H473" s="9">
        <f>IF(E473="","",TEXT(E473,"0.00")&amp;"|"&amp;IF(B473="Invoice","AR","AP"))</f>
        <v/>
      </c>
      <c r="I473" s="9">
        <f>IF(H473="","",IF(COUNTIF(Bank!$F:$F,H473)&gt;0,"Settled","Open"))</f>
        <v/>
      </c>
      <c r="J473" s="9">
        <f>IF(I473&lt;&gt;"Open","",IF(G473&lt;=0,"Current",IF(G473&lt;=30,"1-30",IF(G473&lt;=60,"31-60",IF(G473&lt;=90,"61-90","90+")))))</f>
        <v/>
      </c>
    </row>
    <row r="474">
      <c r="A474" s="8" t="n"/>
      <c r="B474" s="9" t="n"/>
      <c r="C474" s="9" t="n"/>
      <c r="D474" s="9" t="n"/>
      <c r="E474" s="10" t="n"/>
      <c r="F474" s="8" t="n"/>
      <c r="G474" s="9">
        <f>IF(I474="Settled","",MAX(0,TODAY()-F474))</f>
        <v/>
      </c>
      <c r="H474" s="9">
        <f>IF(E474="","",TEXT(E474,"0.00")&amp;"|"&amp;IF(B474="Invoice","AR","AP"))</f>
        <v/>
      </c>
      <c r="I474" s="9">
        <f>IF(H474="","",IF(COUNTIF(Bank!$F:$F,H474)&gt;0,"Settled","Open"))</f>
        <v/>
      </c>
      <c r="J474" s="9">
        <f>IF(I474&lt;&gt;"Open","",IF(G474&lt;=0,"Current",IF(G474&lt;=30,"1-30",IF(G474&lt;=60,"31-60",IF(G474&lt;=90,"61-90","90+")))))</f>
        <v/>
      </c>
    </row>
    <row r="475">
      <c r="A475" s="8" t="n"/>
      <c r="B475" s="9" t="n"/>
      <c r="C475" s="9" t="n"/>
      <c r="D475" s="9" t="n"/>
      <c r="E475" s="10" t="n"/>
      <c r="F475" s="8" t="n"/>
      <c r="G475" s="9">
        <f>IF(I475="Settled","",MAX(0,TODAY()-F475))</f>
        <v/>
      </c>
      <c r="H475" s="9">
        <f>IF(E475="","",TEXT(E475,"0.00")&amp;"|"&amp;IF(B475="Invoice","AR","AP"))</f>
        <v/>
      </c>
      <c r="I475" s="9">
        <f>IF(H475="","",IF(COUNTIF(Bank!$F:$F,H475)&gt;0,"Settled","Open"))</f>
        <v/>
      </c>
      <c r="J475" s="9">
        <f>IF(I475&lt;&gt;"Open","",IF(G475&lt;=0,"Current",IF(G475&lt;=30,"1-30",IF(G475&lt;=60,"31-60",IF(G475&lt;=90,"61-90","90+")))))</f>
        <v/>
      </c>
    </row>
    <row r="476">
      <c r="A476" s="8" t="n"/>
      <c r="B476" s="9" t="n"/>
      <c r="C476" s="9" t="n"/>
      <c r="D476" s="9" t="n"/>
      <c r="E476" s="10" t="n"/>
      <c r="F476" s="8" t="n"/>
      <c r="G476" s="9">
        <f>IF(I476="Settled","",MAX(0,TODAY()-F476))</f>
        <v/>
      </c>
      <c r="H476" s="9">
        <f>IF(E476="","",TEXT(E476,"0.00")&amp;"|"&amp;IF(B476="Invoice","AR","AP"))</f>
        <v/>
      </c>
      <c r="I476" s="9">
        <f>IF(H476="","",IF(COUNTIF(Bank!$F:$F,H476)&gt;0,"Settled","Open"))</f>
        <v/>
      </c>
      <c r="J476" s="9">
        <f>IF(I476&lt;&gt;"Open","",IF(G476&lt;=0,"Current",IF(G476&lt;=30,"1-30",IF(G476&lt;=60,"31-60",IF(G476&lt;=90,"61-90","90+")))))</f>
        <v/>
      </c>
    </row>
    <row r="477">
      <c r="A477" s="8" t="n"/>
      <c r="B477" s="9" t="n"/>
      <c r="C477" s="9" t="n"/>
      <c r="D477" s="9" t="n"/>
      <c r="E477" s="10" t="n"/>
      <c r="F477" s="8" t="n"/>
      <c r="G477" s="9">
        <f>IF(I477="Settled","",MAX(0,TODAY()-F477))</f>
        <v/>
      </c>
      <c r="H477" s="9">
        <f>IF(E477="","",TEXT(E477,"0.00")&amp;"|"&amp;IF(B477="Invoice","AR","AP"))</f>
        <v/>
      </c>
      <c r="I477" s="9">
        <f>IF(H477="","",IF(COUNTIF(Bank!$F:$F,H477)&gt;0,"Settled","Open"))</f>
        <v/>
      </c>
      <c r="J477" s="9">
        <f>IF(I477&lt;&gt;"Open","",IF(G477&lt;=0,"Current",IF(G477&lt;=30,"1-30",IF(G477&lt;=60,"31-60",IF(G477&lt;=90,"61-90","90+")))))</f>
        <v/>
      </c>
    </row>
    <row r="478">
      <c r="A478" s="8" t="n"/>
      <c r="B478" s="9" t="n"/>
      <c r="C478" s="9" t="n"/>
      <c r="D478" s="9" t="n"/>
      <c r="E478" s="10" t="n"/>
      <c r="F478" s="8" t="n"/>
      <c r="G478" s="9">
        <f>IF(I478="Settled","",MAX(0,TODAY()-F478))</f>
        <v/>
      </c>
      <c r="H478" s="9">
        <f>IF(E478="","",TEXT(E478,"0.00")&amp;"|"&amp;IF(B478="Invoice","AR","AP"))</f>
        <v/>
      </c>
      <c r="I478" s="9">
        <f>IF(H478="","",IF(COUNTIF(Bank!$F:$F,H478)&gt;0,"Settled","Open"))</f>
        <v/>
      </c>
      <c r="J478" s="9">
        <f>IF(I478&lt;&gt;"Open","",IF(G478&lt;=0,"Current",IF(G478&lt;=30,"1-30",IF(G478&lt;=60,"31-60",IF(G478&lt;=90,"61-90","90+")))))</f>
        <v/>
      </c>
    </row>
    <row r="479">
      <c r="A479" s="8" t="n"/>
      <c r="B479" s="9" t="n"/>
      <c r="C479" s="9" t="n"/>
      <c r="D479" s="9" t="n"/>
      <c r="E479" s="10" t="n"/>
      <c r="F479" s="8" t="n"/>
      <c r="G479" s="9">
        <f>IF(I479="Settled","",MAX(0,TODAY()-F479))</f>
        <v/>
      </c>
      <c r="H479" s="9">
        <f>IF(E479="","",TEXT(E479,"0.00")&amp;"|"&amp;IF(B479="Invoice","AR","AP"))</f>
        <v/>
      </c>
      <c r="I479" s="9">
        <f>IF(H479="","",IF(COUNTIF(Bank!$F:$F,H479)&gt;0,"Settled","Open"))</f>
        <v/>
      </c>
      <c r="J479" s="9">
        <f>IF(I479&lt;&gt;"Open","",IF(G479&lt;=0,"Current",IF(G479&lt;=30,"1-30",IF(G479&lt;=60,"31-60",IF(G479&lt;=90,"61-90","90+")))))</f>
        <v/>
      </c>
    </row>
    <row r="480">
      <c r="A480" s="8" t="n"/>
      <c r="B480" s="9" t="n"/>
      <c r="C480" s="9" t="n"/>
      <c r="D480" s="9" t="n"/>
      <c r="E480" s="10" t="n"/>
      <c r="F480" s="8" t="n"/>
      <c r="G480" s="9">
        <f>IF(I480="Settled","",MAX(0,TODAY()-F480))</f>
        <v/>
      </c>
      <c r="H480" s="9">
        <f>IF(E480="","",TEXT(E480,"0.00")&amp;"|"&amp;IF(B480="Invoice","AR","AP"))</f>
        <v/>
      </c>
      <c r="I480" s="9">
        <f>IF(H480="","",IF(COUNTIF(Bank!$F:$F,H480)&gt;0,"Settled","Open"))</f>
        <v/>
      </c>
      <c r="J480" s="9">
        <f>IF(I480&lt;&gt;"Open","",IF(G480&lt;=0,"Current",IF(G480&lt;=30,"1-30",IF(G480&lt;=60,"31-60",IF(G480&lt;=90,"61-90","90+")))))</f>
        <v/>
      </c>
    </row>
    <row r="481">
      <c r="A481" s="8" t="n"/>
      <c r="B481" s="9" t="n"/>
      <c r="C481" s="9" t="n"/>
      <c r="D481" s="9" t="n"/>
      <c r="E481" s="10" t="n"/>
      <c r="F481" s="8" t="n"/>
      <c r="G481" s="9">
        <f>IF(I481="Settled","",MAX(0,TODAY()-F481))</f>
        <v/>
      </c>
      <c r="H481" s="9">
        <f>IF(E481="","",TEXT(E481,"0.00")&amp;"|"&amp;IF(B481="Invoice","AR","AP"))</f>
        <v/>
      </c>
      <c r="I481" s="9">
        <f>IF(H481="","",IF(COUNTIF(Bank!$F:$F,H481)&gt;0,"Settled","Open"))</f>
        <v/>
      </c>
      <c r="J481" s="9">
        <f>IF(I481&lt;&gt;"Open","",IF(G481&lt;=0,"Current",IF(G481&lt;=30,"1-30",IF(G481&lt;=60,"31-60",IF(G481&lt;=90,"61-90","90+")))))</f>
        <v/>
      </c>
    </row>
    <row r="482">
      <c r="A482" s="8" t="n"/>
      <c r="B482" s="9" t="n"/>
      <c r="C482" s="9" t="n"/>
      <c r="D482" s="9" t="n"/>
      <c r="E482" s="10" t="n"/>
      <c r="F482" s="8" t="n"/>
      <c r="G482" s="9">
        <f>IF(I482="Settled","",MAX(0,TODAY()-F482))</f>
        <v/>
      </c>
      <c r="H482" s="9">
        <f>IF(E482="","",TEXT(E482,"0.00")&amp;"|"&amp;IF(B482="Invoice","AR","AP"))</f>
        <v/>
      </c>
      <c r="I482" s="9">
        <f>IF(H482="","",IF(COUNTIF(Bank!$F:$F,H482)&gt;0,"Settled","Open"))</f>
        <v/>
      </c>
      <c r="J482" s="9">
        <f>IF(I482&lt;&gt;"Open","",IF(G482&lt;=0,"Current",IF(G482&lt;=30,"1-30",IF(G482&lt;=60,"31-60",IF(G482&lt;=90,"61-90","90+")))))</f>
        <v/>
      </c>
    </row>
    <row r="483">
      <c r="A483" s="8" t="n"/>
      <c r="B483" s="9" t="n"/>
      <c r="C483" s="9" t="n"/>
      <c r="D483" s="9" t="n"/>
      <c r="E483" s="10" t="n"/>
      <c r="F483" s="8" t="n"/>
      <c r="G483" s="9">
        <f>IF(I483="Settled","",MAX(0,TODAY()-F483))</f>
        <v/>
      </c>
      <c r="H483" s="9">
        <f>IF(E483="","",TEXT(E483,"0.00")&amp;"|"&amp;IF(B483="Invoice","AR","AP"))</f>
        <v/>
      </c>
      <c r="I483" s="9">
        <f>IF(H483="","",IF(COUNTIF(Bank!$F:$F,H483)&gt;0,"Settled","Open"))</f>
        <v/>
      </c>
      <c r="J483" s="9">
        <f>IF(I483&lt;&gt;"Open","",IF(G483&lt;=0,"Current",IF(G483&lt;=30,"1-30",IF(G483&lt;=60,"31-60",IF(G483&lt;=90,"61-90","90+")))))</f>
        <v/>
      </c>
    </row>
    <row r="484">
      <c r="A484" s="8" t="n"/>
      <c r="B484" s="9" t="n"/>
      <c r="C484" s="9" t="n"/>
      <c r="D484" s="9" t="n"/>
      <c r="E484" s="10" t="n"/>
      <c r="F484" s="8" t="n"/>
      <c r="G484" s="9">
        <f>IF(I484="Settled","",MAX(0,TODAY()-F484))</f>
        <v/>
      </c>
      <c r="H484" s="9">
        <f>IF(E484="","",TEXT(E484,"0.00")&amp;"|"&amp;IF(B484="Invoice","AR","AP"))</f>
        <v/>
      </c>
      <c r="I484" s="9">
        <f>IF(H484="","",IF(COUNTIF(Bank!$F:$F,H484)&gt;0,"Settled","Open"))</f>
        <v/>
      </c>
      <c r="J484" s="9">
        <f>IF(I484&lt;&gt;"Open","",IF(G484&lt;=0,"Current",IF(G484&lt;=30,"1-30",IF(G484&lt;=60,"31-60",IF(G484&lt;=90,"61-90","90+")))))</f>
        <v/>
      </c>
    </row>
    <row r="485">
      <c r="A485" s="8" t="n"/>
      <c r="B485" s="9" t="n"/>
      <c r="C485" s="9" t="n"/>
      <c r="D485" s="9" t="n"/>
      <c r="E485" s="10" t="n"/>
      <c r="F485" s="8" t="n"/>
      <c r="G485" s="9">
        <f>IF(I485="Settled","",MAX(0,TODAY()-F485))</f>
        <v/>
      </c>
      <c r="H485" s="9">
        <f>IF(E485="","",TEXT(E485,"0.00")&amp;"|"&amp;IF(B485="Invoice","AR","AP"))</f>
        <v/>
      </c>
      <c r="I485" s="9">
        <f>IF(H485="","",IF(COUNTIF(Bank!$F:$F,H485)&gt;0,"Settled","Open"))</f>
        <v/>
      </c>
      <c r="J485" s="9">
        <f>IF(I485&lt;&gt;"Open","",IF(G485&lt;=0,"Current",IF(G485&lt;=30,"1-30",IF(G485&lt;=60,"31-60",IF(G485&lt;=90,"61-90","90+")))))</f>
        <v/>
      </c>
    </row>
    <row r="486">
      <c r="A486" s="8" t="n"/>
      <c r="B486" s="9" t="n"/>
      <c r="C486" s="9" t="n"/>
      <c r="D486" s="9" t="n"/>
      <c r="E486" s="10" t="n"/>
      <c r="F486" s="8" t="n"/>
      <c r="G486" s="9">
        <f>IF(I486="Settled","",MAX(0,TODAY()-F486))</f>
        <v/>
      </c>
      <c r="H486" s="9">
        <f>IF(E486="","",TEXT(E486,"0.00")&amp;"|"&amp;IF(B486="Invoice","AR","AP"))</f>
        <v/>
      </c>
      <c r="I486" s="9">
        <f>IF(H486="","",IF(COUNTIF(Bank!$F:$F,H486)&gt;0,"Settled","Open"))</f>
        <v/>
      </c>
      <c r="J486" s="9">
        <f>IF(I486&lt;&gt;"Open","",IF(G486&lt;=0,"Current",IF(G486&lt;=30,"1-30",IF(G486&lt;=60,"31-60",IF(G486&lt;=90,"61-90","90+")))))</f>
        <v/>
      </c>
    </row>
    <row r="487">
      <c r="A487" s="8" t="n"/>
      <c r="B487" s="9" t="n"/>
      <c r="C487" s="9" t="n"/>
      <c r="D487" s="9" t="n"/>
      <c r="E487" s="10" t="n"/>
      <c r="F487" s="8" t="n"/>
      <c r="G487" s="9">
        <f>IF(I487="Settled","",MAX(0,TODAY()-F487))</f>
        <v/>
      </c>
      <c r="H487" s="9">
        <f>IF(E487="","",TEXT(E487,"0.00")&amp;"|"&amp;IF(B487="Invoice","AR","AP"))</f>
        <v/>
      </c>
      <c r="I487" s="9">
        <f>IF(H487="","",IF(COUNTIF(Bank!$F:$F,H487)&gt;0,"Settled","Open"))</f>
        <v/>
      </c>
      <c r="J487" s="9">
        <f>IF(I487&lt;&gt;"Open","",IF(G487&lt;=0,"Current",IF(G487&lt;=30,"1-30",IF(G487&lt;=60,"31-60",IF(G487&lt;=90,"61-90","90+")))))</f>
        <v/>
      </c>
    </row>
    <row r="488">
      <c r="A488" s="8" t="n"/>
      <c r="B488" s="9" t="n"/>
      <c r="C488" s="9" t="n"/>
      <c r="D488" s="9" t="n"/>
      <c r="E488" s="10" t="n"/>
      <c r="F488" s="8" t="n"/>
      <c r="G488" s="9">
        <f>IF(I488="Settled","",MAX(0,TODAY()-F488))</f>
        <v/>
      </c>
      <c r="H488" s="9">
        <f>IF(E488="","",TEXT(E488,"0.00")&amp;"|"&amp;IF(B488="Invoice","AR","AP"))</f>
        <v/>
      </c>
      <c r="I488" s="9">
        <f>IF(H488="","",IF(COUNTIF(Bank!$F:$F,H488)&gt;0,"Settled","Open"))</f>
        <v/>
      </c>
      <c r="J488" s="9">
        <f>IF(I488&lt;&gt;"Open","",IF(G488&lt;=0,"Current",IF(G488&lt;=30,"1-30",IF(G488&lt;=60,"31-60",IF(G488&lt;=90,"61-90","90+")))))</f>
        <v/>
      </c>
    </row>
    <row r="489">
      <c r="A489" s="8" t="n"/>
      <c r="B489" s="9" t="n"/>
      <c r="C489" s="9" t="n"/>
      <c r="D489" s="9" t="n"/>
      <c r="E489" s="10" t="n"/>
      <c r="F489" s="8" t="n"/>
      <c r="G489" s="9">
        <f>IF(I489="Settled","",MAX(0,TODAY()-F489))</f>
        <v/>
      </c>
      <c r="H489" s="9">
        <f>IF(E489="","",TEXT(E489,"0.00")&amp;"|"&amp;IF(B489="Invoice","AR","AP"))</f>
        <v/>
      </c>
      <c r="I489" s="9">
        <f>IF(H489="","",IF(COUNTIF(Bank!$F:$F,H489)&gt;0,"Settled","Open"))</f>
        <v/>
      </c>
      <c r="J489" s="9">
        <f>IF(I489&lt;&gt;"Open","",IF(G489&lt;=0,"Current",IF(G489&lt;=30,"1-30",IF(G489&lt;=60,"31-60",IF(G489&lt;=90,"61-90","90+")))))</f>
        <v/>
      </c>
    </row>
    <row r="490">
      <c r="A490" s="8" t="n"/>
      <c r="B490" s="9" t="n"/>
      <c r="C490" s="9" t="n"/>
      <c r="D490" s="9" t="n"/>
      <c r="E490" s="10" t="n"/>
      <c r="F490" s="8" t="n"/>
      <c r="G490" s="9">
        <f>IF(I490="Settled","",MAX(0,TODAY()-F490))</f>
        <v/>
      </c>
      <c r="H490" s="9">
        <f>IF(E490="","",TEXT(E490,"0.00")&amp;"|"&amp;IF(B490="Invoice","AR","AP"))</f>
        <v/>
      </c>
      <c r="I490" s="9">
        <f>IF(H490="","",IF(COUNTIF(Bank!$F:$F,H490)&gt;0,"Settled","Open"))</f>
        <v/>
      </c>
      <c r="J490" s="9">
        <f>IF(I490&lt;&gt;"Open","",IF(G490&lt;=0,"Current",IF(G490&lt;=30,"1-30",IF(G490&lt;=60,"31-60",IF(G490&lt;=90,"61-90","90+")))))</f>
        <v/>
      </c>
    </row>
    <row r="491">
      <c r="A491" s="8" t="n"/>
      <c r="B491" s="9" t="n"/>
      <c r="C491" s="9" t="n"/>
      <c r="D491" s="9" t="n"/>
      <c r="E491" s="10" t="n"/>
      <c r="F491" s="8" t="n"/>
      <c r="G491" s="9">
        <f>IF(I491="Settled","",MAX(0,TODAY()-F491))</f>
        <v/>
      </c>
      <c r="H491" s="9">
        <f>IF(E491="","",TEXT(E491,"0.00")&amp;"|"&amp;IF(B491="Invoice","AR","AP"))</f>
        <v/>
      </c>
      <c r="I491" s="9">
        <f>IF(H491="","",IF(COUNTIF(Bank!$F:$F,H491)&gt;0,"Settled","Open"))</f>
        <v/>
      </c>
      <c r="J491" s="9">
        <f>IF(I491&lt;&gt;"Open","",IF(G491&lt;=0,"Current",IF(G491&lt;=30,"1-30",IF(G491&lt;=60,"31-60",IF(G491&lt;=90,"61-90","90+")))))</f>
        <v/>
      </c>
    </row>
    <row r="492">
      <c r="A492" s="8" t="n"/>
      <c r="B492" s="9" t="n"/>
      <c r="C492" s="9" t="n"/>
      <c r="D492" s="9" t="n"/>
      <c r="E492" s="10" t="n"/>
      <c r="F492" s="8" t="n"/>
      <c r="G492" s="9">
        <f>IF(I492="Settled","",MAX(0,TODAY()-F492))</f>
        <v/>
      </c>
      <c r="H492" s="9">
        <f>IF(E492="","",TEXT(E492,"0.00")&amp;"|"&amp;IF(B492="Invoice","AR","AP"))</f>
        <v/>
      </c>
      <c r="I492" s="9">
        <f>IF(H492="","",IF(COUNTIF(Bank!$F:$F,H492)&gt;0,"Settled","Open"))</f>
        <v/>
      </c>
      <c r="J492" s="9">
        <f>IF(I492&lt;&gt;"Open","",IF(G492&lt;=0,"Current",IF(G492&lt;=30,"1-30",IF(G492&lt;=60,"31-60",IF(G492&lt;=90,"61-90","90+")))))</f>
        <v/>
      </c>
    </row>
    <row r="493">
      <c r="A493" s="8" t="n"/>
      <c r="B493" s="9" t="n"/>
      <c r="C493" s="9" t="n"/>
      <c r="D493" s="9" t="n"/>
      <c r="E493" s="10" t="n"/>
      <c r="F493" s="8" t="n"/>
      <c r="G493" s="9">
        <f>IF(I493="Settled","",MAX(0,TODAY()-F493))</f>
        <v/>
      </c>
      <c r="H493" s="9">
        <f>IF(E493="","",TEXT(E493,"0.00")&amp;"|"&amp;IF(B493="Invoice","AR","AP"))</f>
        <v/>
      </c>
      <c r="I493" s="9">
        <f>IF(H493="","",IF(COUNTIF(Bank!$F:$F,H493)&gt;0,"Settled","Open"))</f>
        <v/>
      </c>
      <c r="J493" s="9">
        <f>IF(I493&lt;&gt;"Open","",IF(G493&lt;=0,"Current",IF(G493&lt;=30,"1-30",IF(G493&lt;=60,"31-60",IF(G493&lt;=90,"61-90","90+")))))</f>
        <v/>
      </c>
    </row>
    <row r="494">
      <c r="A494" s="8" t="n"/>
      <c r="B494" s="9" t="n"/>
      <c r="C494" s="9" t="n"/>
      <c r="D494" s="9" t="n"/>
      <c r="E494" s="10" t="n"/>
      <c r="F494" s="8" t="n"/>
      <c r="G494" s="9">
        <f>IF(I494="Settled","",MAX(0,TODAY()-F494))</f>
        <v/>
      </c>
      <c r="H494" s="9">
        <f>IF(E494="","",TEXT(E494,"0.00")&amp;"|"&amp;IF(B494="Invoice","AR","AP"))</f>
        <v/>
      </c>
      <c r="I494" s="9">
        <f>IF(H494="","",IF(COUNTIF(Bank!$F:$F,H494)&gt;0,"Settled","Open"))</f>
        <v/>
      </c>
      <c r="J494" s="9">
        <f>IF(I494&lt;&gt;"Open","",IF(G494&lt;=0,"Current",IF(G494&lt;=30,"1-30",IF(G494&lt;=60,"31-60",IF(G494&lt;=90,"61-90","90+")))))</f>
        <v/>
      </c>
    </row>
    <row r="495">
      <c r="A495" s="8" t="n"/>
      <c r="B495" s="9" t="n"/>
      <c r="C495" s="9" t="n"/>
      <c r="D495" s="9" t="n"/>
      <c r="E495" s="10" t="n"/>
      <c r="F495" s="8" t="n"/>
      <c r="G495" s="9">
        <f>IF(I495="Settled","",MAX(0,TODAY()-F495))</f>
        <v/>
      </c>
      <c r="H495" s="9">
        <f>IF(E495="","",TEXT(E495,"0.00")&amp;"|"&amp;IF(B495="Invoice","AR","AP"))</f>
        <v/>
      </c>
      <c r="I495" s="9">
        <f>IF(H495="","",IF(COUNTIF(Bank!$F:$F,H495)&gt;0,"Settled","Open"))</f>
        <v/>
      </c>
      <c r="J495" s="9">
        <f>IF(I495&lt;&gt;"Open","",IF(G495&lt;=0,"Current",IF(G495&lt;=30,"1-30",IF(G495&lt;=60,"31-60",IF(G495&lt;=90,"61-90","90+")))))</f>
        <v/>
      </c>
    </row>
    <row r="496">
      <c r="A496" s="8" t="n"/>
      <c r="B496" s="9" t="n"/>
      <c r="C496" s="9" t="n"/>
      <c r="D496" s="9" t="n"/>
      <c r="E496" s="10" t="n"/>
      <c r="F496" s="8" t="n"/>
      <c r="G496" s="9">
        <f>IF(I496="Settled","",MAX(0,TODAY()-F496))</f>
        <v/>
      </c>
      <c r="H496" s="9">
        <f>IF(E496="","",TEXT(E496,"0.00")&amp;"|"&amp;IF(B496="Invoice","AR","AP"))</f>
        <v/>
      </c>
      <c r="I496" s="9">
        <f>IF(H496="","",IF(COUNTIF(Bank!$F:$F,H496)&gt;0,"Settled","Open"))</f>
        <v/>
      </c>
      <c r="J496" s="9">
        <f>IF(I496&lt;&gt;"Open","",IF(G496&lt;=0,"Current",IF(G496&lt;=30,"1-30",IF(G496&lt;=60,"31-60",IF(G496&lt;=90,"61-90","90+")))))</f>
        <v/>
      </c>
    </row>
    <row r="497">
      <c r="A497" s="8" t="n"/>
      <c r="B497" s="9" t="n"/>
      <c r="C497" s="9" t="n"/>
      <c r="D497" s="9" t="n"/>
      <c r="E497" s="10" t="n"/>
      <c r="F497" s="8" t="n"/>
      <c r="G497" s="9">
        <f>IF(I497="Settled","",MAX(0,TODAY()-F497))</f>
        <v/>
      </c>
      <c r="H497" s="9">
        <f>IF(E497="","",TEXT(E497,"0.00")&amp;"|"&amp;IF(B497="Invoice","AR","AP"))</f>
        <v/>
      </c>
      <c r="I497" s="9">
        <f>IF(H497="","",IF(COUNTIF(Bank!$F:$F,H497)&gt;0,"Settled","Open"))</f>
        <v/>
      </c>
      <c r="J497" s="9">
        <f>IF(I497&lt;&gt;"Open","",IF(G497&lt;=0,"Current",IF(G497&lt;=30,"1-30",IF(G497&lt;=60,"31-60",IF(G497&lt;=90,"61-90","90+")))))</f>
        <v/>
      </c>
    </row>
    <row r="498">
      <c r="A498" s="8" t="n"/>
      <c r="B498" s="9" t="n"/>
      <c r="C498" s="9" t="n"/>
      <c r="D498" s="9" t="n"/>
      <c r="E498" s="10" t="n"/>
      <c r="F498" s="8" t="n"/>
      <c r="G498" s="9">
        <f>IF(I498="Settled","",MAX(0,TODAY()-F498))</f>
        <v/>
      </c>
      <c r="H498" s="9">
        <f>IF(E498="","",TEXT(E498,"0.00")&amp;"|"&amp;IF(B498="Invoice","AR","AP"))</f>
        <v/>
      </c>
      <c r="I498" s="9">
        <f>IF(H498="","",IF(COUNTIF(Bank!$F:$F,H498)&gt;0,"Settled","Open"))</f>
        <v/>
      </c>
      <c r="J498" s="9">
        <f>IF(I498&lt;&gt;"Open","",IF(G498&lt;=0,"Current",IF(G498&lt;=30,"1-30",IF(G498&lt;=60,"31-60",IF(G498&lt;=90,"61-90","90+")))))</f>
        <v/>
      </c>
    </row>
    <row r="499">
      <c r="A499" s="8" t="n"/>
      <c r="B499" s="9" t="n"/>
      <c r="C499" s="9" t="n"/>
      <c r="D499" s="9" t="n"/>
      <c r="E499" s="10" t="n"/>
      <c r="F499" s="8" t="n"/>
      <c r="G499" s="9">
        <f>IF(I499="Settled","",MAX(0,TODAY()-F499))</f>
        <v/>
      </c>
      <c r="H499" s="9">
        <f>IF(E499="","",TEXT(E499,"0.00")&amp;"|"&amp;IF(B499="Invoice","AR","AP"))</f>
        <v/>
      </c>
      <c r="I499" s="9">
        <f>IF(H499="","",IF(COUNTIF(Bank!$F:$F,H499)&gt;0,"Settled","Open"))</f>
        <v/>
      </c>
      <c r="J499" s="9">
        <f>IF(I499&lt;&gt;"Open","",IF(G499&lt;=0,"Current",IF(G499&lt;=30,"1-30",IF(G499&lt;=60,"31-60",IF(G499&lt;=90,"61-90","90+")))))</f>
        <v/>
      </c>
    </row>
    <row r="500">
      <c r="A500" s="8" t="n"/>
      <c r="B500" s="9" t="n"/>
      <c r="C500" s="9" t="n"/>
      <c r="D500" s="9" t="n"/>
      <c r="E500" s="10" t="n"/>
      <c r="F500" s="8" t="n"/>
      <c r="G500" s="9">
        <f>IF(I500="Settled","",MAX(0,TODAY()-F500))</f>
        <v/>
      </c>
      <c r="H500" s="9">
        <f>IF(E500="","",TEXT(E500,"0.00")&amp;"|"&amp;IF(B500="Invoice","AR","AP"))</f>
        <v/>
      </c>
      <c r="I500" s="9">
        <f>IF(H500="","",IF(COUNTIF(Bank!$F:$F,H500)&gt;0,"Settled","Open"))</f>
        <v/>
      </c>
      <c r="J500" s="9">
        <f>IF(I500&lt;&gt;"Open","",IF(G500&lt;=0,"Current",IF(G500&lt;=30,"1-30",IF(G500&lt;=60,"31-60",IF(G500&lt;=90,"61-90","90+")))))</f>
        <v/>
      </c>
    </row>
    <row r="501">
      <c r="A501" s="8" t="n"/>
      <c r="B501" s="9" t="n"/>
      <c r="C501" s="9" t="n"/>
      <c r="D501" s="9" t="n"/>
      <c r="E501" s="10" t="n"/>
      <c r="F501" s="8" t="n"/>
      <c r="G501" s="9">
        <f>IF(I501="Settled","",MAX(0,TODAY()-F501))</f>
        <v/>
      </c>
      <c r="H501" s="9">
        <f>IF(E501="","",TEXT(E501,"0.00")&amp;"|"&amp;IF(B501="Invoice","AR","AP"))</f>
        <v/>
      </c>
      <c r="I501" s="9">
        <f>IF(H501="","",IF(COUNTIF(Bank!$F:$F,H501)&gt;0,"Settled","Open"))</f>
        <v/>
      </c>
      <c r="J501" s="9">
        <f>IF(I501&lt;&gt;"Open","",IF(G501&lt;=0,"Current",IF(G501&lt;=30,"1-30",IF(G501&lt;=60,"31-60",IF(G501&lt;=90,"61-90","90+")))))</f>
        <v/>
      </c>
    </row>
    <row r="502">
      <c r="A502" s="8" t="n"/>
      <c r="B502" s="9" t="n"/>
      <c r="C502" s="9" t="n"/>
      <c r="D502" s="9" t="n"/>
      <c r="E502" s="10" t="n"/>
      <c r="F502" s="8" t="n"/>
      <c r="G502" s="9">
        <f>IF(I502="Settled","",MAX(0,TODAY()-F502))</f>
        <v/>
      </c>
      <c r="H502" s="9">
        <f>IF(E502="","",TEXT(E502,"0.00")&amp;"|"&amp;IF(B502="Invoice","AR","AP"))</f>
        <v/>
      </c>
      <c r="I502" s="9">
        <f>IF(H502="","",IF(COUNTIF(Bank!$F:$F,H502)&gt;0,"Settled","Open"))</f>
        <v/>
      </c>
      <c r="J502" s="9">
        <f>IF(I502&lt;&gt;"Open","",IF(G502&lt;=0,"Current",IF(G502&lt;=30,"1-30",IF(G502&lt;=60,"31-60",IF(G502&lt;=90,"61-90","90+")))))</f>
        <v/>
      </c>
    </row>
    <row r="503">
      <c r="A503" s="8" t="n"/>
      <c r="B503" s="9" t="n"/>
      <c r="C503" s="9" t="n"/>
      <c r="D503" s="9" t="n"/>
      <c r="E503" s="10" t="n"/>
      <c r="F503" s="8" t="n"/>
      <c r="G503" s="9">
        <f>IF(I503="Settled","",MAX(0,TODAY()-F503))</f>
        <v/>
      </c>
      <c r="H503" s="9">
        <f>IF(E503="","",TEXT(E503,"0.00")&amp;"|"&amp;IF(B503="Invoice","AR","AP"))</f>
        <v/>
      </c>
      <c r="I503" s="9">
        <f>IF(H503="","",IF(COUNTIF(Bank!$F:$F,H503)&gt;0,"Settled","Open"))</f>
        <v/>
      </c>
      <c r="J503" s="9">
        <f>IF(I503&lt;&gt;"Open","",IF(G503&lt;=0,"Current",IF(G503&lt;=30,"1-30",IF(G503&lt;=60,"31-60",IF(G503&lt;=90,"61-90","90+")))))</f>
        <v/>
      </c>
    </row>
    <row r="504">
      <c r="A504" s="8" t="n"/>
      <c r="B504" s="9" t="n"/>
      <c r="C504" s="9" t="n"/>
      <c r="D504" s="9" t="n"/>
      <c r="E504" s="10" t="n"/>
      <c r="F504" s="8" t="n"/>
      <c r="G504" s="9">
        <f>IF(I504="Settled","",MAX(0,TODAY()-F504))</f>
        <v/>
      </c>
      <c r="H504" s="9">
        <f>IF(E504="","",TEXT(E504,"0.00")&amp;"|"&amp;IF(B504="Invoice","AR","AP"))</f>
        <v/>
      </c>
      <c r="I504" s="9">
        <f>IF(H504="","",IF(COUNTIF(Bank!$F:$F,H504)&gt;0,"Settled","Open"))</f>
        <v/>
      </c>
      <c r="J504" s="9">
        <f>IF(I504&lt;&gt;"Open","",IF(G504&lt;=0,"Current",IF(G504&lt;=30,"1-30",IF(G504&lt;=60,"31-60",IF(G504&lt;=90,"61-90","90+")))))</f>
        <v/>
      </c>
    </row>
    <row r="505">
      <c r="A505" s="8" t="n"/>
      <c r="B505" s="9" t="n"/>
      <c r="C505" s="9" t="n"/>
      <c r="D505" s="9" t="n"/>
      <c r="E505" s="10" t="n"/>
      <c r="F505" s="8" t="n"/>
      <c r="G505" s="9">
        <f>IF(I505="Settled","",MAX(0,TODAY()-F505))</f>
        <v/>
      </c>
      <c r="H505" s="9">
        <f>IF(E505="","",TEXT(E505,"0.00")&amp;"|"&amp;IF(B505="Invoice","AR","AP"))</f>
        <v/>
      </c>
      <c r="I505" s="9">
        <f>IF(H505="","",IF(COUNTIF(Bank!$F:$F,H505)&gt;0,"Settled","Open"))</f>
        <v/>
      </c>
      <c r="J505" s="9">
        <f>IF(I505&lt;&gt;"Open","",IF(G505&lt;=0,"Current",IF(G505&lt;=30,"1-30",IF(G505&lt;=60,"31-60",IF(G505&lt;=90,"61-90","90+")))))</f>
        <v/>
      </c>
    </row>
    <row r="506">
      <c r="A506" s="8" t="n"/>
      <c r="B506" s="9" t="n"/>
      <c r="C506" s="9" t="n"/>
      <c r="D506" s="9" t="n"/>
      <c r="E506" s="10" t="n"/>
      <c r="F506" s="8" t="n"/>
      <c r="G506" s="9">
        <f>IF(I506="Settled","",MAX(0,TODAY()-F506))</f>
        <v/>
      </c>
      <c r="H506" s="9">
        <f>IF(E506="","",TEXT(E506,"0.00")&amp;"|"&amp;IF(B506="Invoice","AR","AP"))</f>
        <v/>
      </c>
      <c r="I506" s="9">
        <f>IF(H506="","",IF(COUNTIF(Bank!$F:$F,H506)&gt;0,"Settled","Open"))</f>
        <v/>
      </c>
      <c r="J506" s="9">
        <f>IF(I506&lt;&gt;"Open","",IF(G506&lt;=0,"Current",IF(G506&lt;=30,"1-30",IF(G506&lt;=60,"31-60",IF(G506&lt;=90,"61-90","90+")))))</f>
        <v/>
      </c>
    </row>
    <row r="507">
      <c r="A507" s="8" t="n"/>
      <c r="B507" s="9" t="n"/>
      <c r="C507" s="9" t="n"/>
      <c r="D507" s="9" t="n"/>
      <c r="E507" s="10" t="n"/>
      <c r="F507" s="8" t="n"/>
      <c r="G507" s="9">
        <f>IF(I507="Settled","",MAX(0,TODAY()-F507))</f>
        <v/>
      </c>
      <c r="H507" s="9">
        <f>IF(E507="","",TEXT(E507,"0.00")&amp;"|"&amp;IF(B507="Invoice","AR","AP"))</f>
        <v/>
      </c>
      <c r="I507" s="9">
        <f>IF(H507="","",IF(COUNTIF(Bank!$F:$F,H507)&gt;0,"Settled","Open"))</f>
        <v/>
      </c>
      <c r="J507" s="9">
        <f>IF(I507&lt;&gt;"Open","",IF(G507&lt;=0,"Current",IF(G507&lt;=30,"1-30",IF(G507&lt;=60,"31-60",IF(G507&lt;=90,"61-90","90+")))))</f>
        <v/>
      </c>
    </row>
    <row r="508">
      <c r="A508" s="8" t="n"/>
      <c r="B508" s="9" t="n"/>
      <c r="C508" s="9" t="n"/>
      <c r="D508" s="9" t="n"/>
      <c r="E508" s="10" t="n"/>
      <c r="F508" s="8" t="n"/>
      <c r="G508" s="9">
        <f>IF(I508="Settled","",MAX(0,TODAY()-F508))</f>
        <v/>
      </c>
      <c r="H508" s="9">
        <f>IF(E508="","",TEXT(E508,"0.00")&amp;"|"&amp;IF(B508="Invoice","AR","AP"))</f>
        <v/>
      </c>
      <c r="I508" s="9">
        <f>IF(H508="","",IF(COUNTIF(Bank!$F:$F,H508)&gt;0,"Settled","Open"))</f>
        <v/>
      </c>
      <c r="J508" s="9">
        <f>IF(I508&lt;&gt;"Open","",IF(G508&lt;=0,"Current",IF(G508&lt;=30,"1-30",IF(G508&lt;=60,"31-60",IF(G508&lt;=90,"61-90","90+")))))</f>
        <v/>
      </c>
    </row>
    <row r="509">
      <c r="A509" s="8" t="n"/>
      <c r="B509" s="9" t="n"/>
      <c r="C509" s="9" t="n"/>
      <c r="D509" s="9" t="n"/>
      <c r="E509" s="10" t="n"/>
      <c r="F509" s="8" t="n"/>
      <c r="G509" s="9">
        <f>IF(I509="Settled","",MAX(0,TODAY()-F509))</f>
        <v/>
      </c>
      <c r="H509" s="9">
        <f>IF(E509="","",TEXT(E509,"0.00")&amp;"|"&amp;IF(B509="Invoice","AR","AP"))</f>
        <v/>
      </c>
      <c r="I509" s="9">
        <f>IF(H509="","",IF(COUNTIF(Bank!$F:$F,H509)&gt;0,"Settled","Open"))</f>
        <v/>
      </c>
      <c r="J509" s="9">
        <f>IF(I509&lt;&gt;"Open","",IF(G509&lt;=0,"Current",IF(G509&lt;=30,"1-30",IF(G509&lt;=60,"31-60",IF(G509&lt;=90,"61-90","90+")))))</f>
        <v/>
      </c>
    </row>
    <row r="510">
      <c r="A510" s="8" t="n"/>
      <c r="B510" s="9" t="n"/>
      <c r="C510" s="9" t="n"/>
      <c r="D510" s="9" t="n"/>
      <c r="E510" s="10" t="n"/>
      <c r="F510" s="8" t="n"/>
      <c r="G510" s="9">
        <f>IF(I510="Settled","",MAX(0,TODAY()-F510))</f>
        <v/>
      </c>
      <c r="H510" s="9">
        <f>IF(E510="","",TEXT(E510,"0.00")&amp;"|"&amp;IF(B510="Invoice","AR","AP"))</f>
        <v/>
      </c>
      <c r="I510" s="9">
        <f>IF(H510="","",IF(COUNTIF(Bank!$F:$F,H510)&gt;0,"Settled","Open"))</f>
        <v/>
      </c>
      <c r="J510" s="9">
        <f>IF(I510&lt;&gt;"Open","",IF(G510&lt;=0,"Current",IF(G510&lt;=30,"1-30",IF(G510&lt;=60,"31-60",IF(G510&lt;=90,"61-90","90+")))))</f>
        <v/>
      </c>
    </row>
    <row r="511">
      <c r="A511" s="8" t="n"/>
      <c r="B511" s="9" t="n"/>
      <c r="C511" s="9" t="n"/>
      <c r="D511" s="9" t="n"/>
      <c r="E511" s="10" t="n"/>
      <c r="F511" s="8" t="n"/>
      <c r="G511" s="9">
        <f>IF(I511="Settled","",MAX(0,TODAY()-F511))</f>
        <v/>
      </c>
      <c r="H511" s="9">
        <f>IF(E511="","",TEXT(E511,"0.00")&amp;"|"&amp;IF(B511="Invoice","AR","AP"))</f>
        <v/>
      </c>
      <c r="I511" s="9">
        <f>IF(H511="","",IF(COUNTIF(Bank!$F:$F,H511)&gt;0,"Settled","Open"))</f>
        <v/>
      </c>
      <c r="J511" s="9">
        <f>IF(I511&lt;&gt;"Open","",IF(G511&lt;=0,"Current",IF(G511&lt;=30,"1-30",IF(G511&lt;=60,"31-60",IF(G511&lt;=90,"61-90","90+")))))</f>
        <v/>
      </c>
    </row>
    <row r="512">
      <c r="A512" s="8" t="n"/>
      <c r="B512" s="9" t="n"/>
      <c r="C512" s="9" t="n"/>
      <c r="D512" s="9" t="n"/>
      <c r="E512" s="10" t="n"/>
      <c r="F512" s="8" t="n"/>
      <c r="G512" s="9">
        <f>IF(I512="Settled","",MAX(0,TODAY()-F512))</f>
        <v/>
      </c>
      <c r="H512" s="9">
        <f>IF(E512="","",TEXT(E512,"0.00")&amp;"|"&amp;IF(B512="Invoice","AR","AP"))</f>
        <v/>
      </c>
      <c r="I512" s="9">
        <f>IF(H512="","",IF(COUNTIF(Bank!$F:$F,H512)&gt;0,"Settled","Open"))</f>
        <v/>
      </c>
      <c r="J512" s="9">
        <f>IF(I512&lt;&gt;"Open","",IF(G512&lt;=0,"Current",IF(G512&lt;=30,"1-30",IF(G512&lt;=60,"31-60",IF(G512&lt;=90,"61-90","90+")))))</f>
        <v/>
      </c>
    </row>
    <row r="513">
      <c r="A513" s="8" t="n"/>
      <c r="B513" s="9" t="n"/>
      <c r="C513" s="9" t="n"/>
      <c r="D513" s="9" t="n"/>
      <c r="E513" s="10" t="n"/>
      <c r="F513" s="8" t="n"/>
      <c r="G513" s="9">
        <f>IF(I513="Settled","",MAX(0,TODAY()-F513))</f>
        <v/>
      </c>
      <c r="H513" s="9">
        <f>IF(E513="","",TEXT(E513,"0.00")&amp;"|"&amp;IF(B513="Invoice","AR","AP"))</f>
        <v/>
      </c>
      <c r="I513" s="9">
        <f>IF(H513="","",IF(COUNTIF(Bank!$F:$F,H513)&gt;0,"Settled","Open"))</f>
        <v/>
      </c>
      <c r="J513" s="9">
        <f>IF(I513&lt;&gt;"Open","",IF(G513&lt;=0,"Current",IF(G513&lt;=30,"1-30",IF(G513&lt;=60,"31-60",IF(G513&lt;=90,"61-90","90+")))))</f>
        <v/>
      </c>
    </row>
    <row r="514">
      <c r="A514" s="8" t="n"/>
      <c r="B514" s="9" t="n"/>
      <c r="C514" s="9" t="n"/>
      <c r="D514" s="9" t="n"/>
      <c r="E514" s="10" t="n"/>
      <c r="F514" s="8" t="n"/>
      <c r="G514" s="9">
        <f>IF(I514="Settled","",MAX(0,TODAY()-F514))</f>
        <v/>
      </c>
      <c r="H514" s="9">
        <f>IF(E514="","",TEXT(E514,"0.00")&amp;"|"&amp;IF(B514="Invoice","AR","AP"))</f>
        <v/>
      </c>
      <c r="I514" s="9">
        <f>IF(H514="","",IF(COUNTIF(Bank!$F:$F,H514)&gt;0,"Settled","Open"))</f>
        <v/>
      </c>
      <c r="J514" s="9">
        <f>IF(I514&lt;&gt;"Open","",IF(G514&lt;=0,"Current",IF(G514&lt;=30,"1-30",IF(G514&lt;=60,"31-60",IF(G514&lt;=90,"61-90","90+")))))</f>
        <v/>
      </c>
    </row>
    <row r="515">
      <c r="A515" s="8" t="n"/>
      <c r="B515" s="9" t="n"/>
      <c r="C515" s="9" t="n"/>
      <c r="D515" s="9" t="n"/>
      <c r="E515" s="10" t="n"/>
      <c r="F515" s="8" t="n"/>
      <c r="G515" s="9">
        <f>IF(I515="Settled","",MAX(0,TODAY()-F515))</f>
        <v/>
      </c>
      <c r="H515" s="9">
        <f>IF(E515="","",TEXT(E515,"0.00")&amp;"|"&amp;IF(B515="Invoice","AR","AP"))</f>
        <v/>
      </c>
      <c r="I515" s="9">
        <f>IF(H515="","",IF(COUNTIF(Bank!$F:$F,H515)&gt;0,"Settled","Open"))</f>
        <v/>
      </c>
      <c r="J515" s="9">
        <f>IF(I515&lt;&gt;"Open","",IF(G515&lt;=0,"Current",IF(G515&lt;=30,"1-30",IF(G515&lt;=60,"31-60",IF(G515&lt;=90,"61-90","90+")))))</f>
        <v/>
      </c>
    </row>
    <row r="516">
      <c r="A516" s="8" t="n"/>
      <c r="B516" s="9" t="n"/>
      <c r="C516" s="9" t="n"/>
      <c r="D516" s="9" t="n"/>
      <c r="E516" s="10" t="n"/>
      <c r="F516" s="8" t="n"/>
      <c r="G516" s="9">
        <f>IF(I516="Settled","",MAX(0,TODAY()-F516))</f>
        <v/>
      </c>
      <c r="H516" s="9">
        <f>IF(E516="","",TEXT(E516,"0.00")&amp;"|"&amp;IF(B516="Invoice","AR","AP"))</f>
        <v/>
      </c>
      <c r="I516" s="9">
        <f>IF(H516="","",IF(COUNTIF(Bank!$F:$F,H516)&gt;0,"Settled","Open"))</f>
        <v/>
      </c>
      <c r="J516" s="9">
        <f>IF(I516&lt;&gt;"Open","",IF(G516&lt;=0,"Current",IF(G516&lt;=30,"1-30",IF(G516&lt;=60,"31-60",IF(G516&lt;=90,"61-90","90+")))))</f>
        <v/>
      </c>
    </row>
    <row r="517">
      <c r="A517" s="8" t="n"/>
      <c r="B517" s="9" t="n"/>
      <c r="C517" s="9" t="n"/>
      <c r="D517" s="9" t="n"/>
      <c r="E517" s="10" t="n"/>
      <c r="F517" s="8" t="n"/>
      <c r="G517" s="9">
        <f>IF(I517="Settled","",MAX(0,TODAY()-F517))</f>
        <v/>
      </c>
      <c r="H517" s="9">
        <f>IF(E517="","",TEXT(E517,"0.00")&amp;"|"&amp;IF(B517="Invoice","AR","AP"))</f>
        <v/>
      </c>
      <c r="I517" s="9">
        <f>IF(H517="","",IF(COUNTIF(Bank!$F:$F,H517)&gt;0,"Settled","Open"))</f>
        <v/>
      </c>
      <c r="J517" s="9">
        <f>IF(I517&lt;&gt;"Open","",IF(G517&lt;=0,"Current",IF(G517&lt;=30,"1-30",IF(G517&lt;=60,"31-60",IF(G517&lt;=90,"61-90","90+")))))</f>
        <v/>
      </c>
    </row>
    <row r="518">
      <c r="A518" s="8" t="n"/>
      <c r="B518" s="9" t="n"/>
      <c r="C518" s="9" t="n"/>
      <c r="D518" s="9" t="n"/>
      <c r="E518" s="10" t="n"/>
      <c r="F518" s="8" t="n"/>
      <c r="G518" s="9">
        <f>IF(I518="Settled","",MAX(0,TODAY()-F518))</f>
        <v/>
      </c>
      <c r="H518" s="9">
        <f>IF(E518="","",TEXT(E518,"0.00")&amp;"|"&amp;IF(B518="Invoice","AR","AP"))</f>
        <v/>
      </c>
      <c r="I518" s="9">
        <f>IF(H518="","",IF(COUNTIF(Bank!$F:$F,H518)&gt;0,"Settled","Open"))</f>
        <v/>
      </c>
      <c r="J518" s="9">
        <f>IF(I518&lt;&gt;"Open","",IF(G518&lt;=0,"Current",IF(G518&lt;=30,"1-30",IF(G518&lt;=60,"31-60",IF(G518&lt;=90,"61-90","90+")))))</f>
        <v/>
      </c>
    </row>
    <row r="519">
      <c r="A519" s="8" t="n"/>
      <c r="B519" s="9" t="n"/>
      <c r="C519" s="9" t="n"/>
      <c r="D519" s="9" t="n"/>
      <c r="E519" s="10" t="n"/>
      <c r="F519" s="8" t="n"/>
      <c r="G519" s="9">
        <f>IF(I519="Settled","",MAX(0,TODAY()-F519))</f>
        <v/>
      </c>
      <c r="H519" s="9">
        <f>IF(E519="","",TEXT(E519,"0.00")&amp;"|"&amp;IF(B519="Invoice","AR","AP"))</f>
        <v/>
      </c>
      <c r="I519" s="9">
        <f>IF(H519="","",IF(COUNTIF(Bank!$F:$F,H519)&gt;0,"Settled","Open"))</f>
        <v/>
      </c>
      <c r="J519" s="9">
        <f>IF(I519&lt;&gt;"Open","",IF(G519&lt;=0,"Current",IF(G519&lt;=30,"1-30",IF(G519&lt;=60,"31-60",IF(G519&lt;=90,"61-90","90+")))))</f>
        <v/>
      </c>
    </row>
    <row r="520">
      <c r="A520" s="8" t="n"/>
      <c r="B520" s="9" t="n"/>
      <c r="C520" s="9" t="n"/>
      <c r="D520" s="9" t="n"/>
      <c r="E520" s="10" t="n"/>
      <c r="F520" s="8" t="n"/>
      <c r="G520" s="9">
        <f>IF(I520="Settled","",MAX(0,TODAY()-F520))</f>
        <v/>
      </c>
      <c r="H520" s="9">
        <f>IF(E520="","",TEXT(E520,"0.00")&amp;"|"&amp;IF(B520="Invoice","AR","AP"))</f>
        <v/>
      </c>
      <c r="I520" s="9">
        <f>IF(H520="","",IF(COUNTIF(Bank!$F:$F,H520)&gt;0,"Settled","Open"))</f>
        <v/>
      </c>
      <c r="J520" s="9">
        <f>IF(I520&lt;&gt;"Open","",IF(G520&lt;=0,"Current",IF(G520&lt;=30,"1-30",IF(G520&lt;=60,"31-60",IF(G520&lt;=90,"61-90","90+")))))</f>
        <v/>
      </c>
    </row>
    <row r="521">
      <c r="A521" s="8" t="n"/>
      <c r="B521" s="9" t="n"/>
      <c r="C521" s="9" t="n"/>
      <c r="D521" s="9" t="n"/>
      <c r="E521" s="10" t="n"/>
      <c r="F521" s="8" t="n"/>
      <c r="G521" s="9">
        <f>IF(I521="Settled","",MAX(0,TODAY()-F521))</f>
        <v/>
      </c>
      <c r="H521" s="9">
        <f>IF(E521="","",TEXT(E521,"0.00")&amp;"|"&amp;IF(B521="Invoice","AR","AP"))</f>
        <v/>
      </c>
      <c r="I521" s="9">
        <f>IF(H521="","",IF(COUNTIF(Bank!$F:$F,H521)&gt;0,"Settled","Open"))</f>
        <v/>
      </c>
      <c r="J521" s="9">
        <f>IF(I521&lt;&gt;"Open","",IF(G521&lt;=0,"Current",IF(G521&lt;=30,"1-30",IF(G521&lt;=60,"31-60",IF(G521&lt;=90,"61-90","90+")))))</f>
        <v/>
      </c>
    </row>
    <row r="522">
      <c r="A522" s="8" t="n"/>
      <c r="B522" s="9" t="n"/>
      <c r="C522" s="9" t="n"/>
      <c r="D522" s="9" t="n"/>
      <c r="E522" s="10" t="n"/>
      <c r="F522" s="8" t="n"/>
      <c r="G522" s="9">
        <f>IF(I522="Settled","",MAX(0,TODAY()-F522))</f>
        <v/>
      </c>
      <c r="H522" s="9">
        <f>IF(E522="","",TEXT(E522,"0.00")&amp;"|"&amp;IF(B522="Invoice","AR","AP"))</f>
        <v/>
      </c>
      <c r="I522" s="9">
        <f>IF(H522="","",IF(COUNTIF(Bank!$F:$F,H522)&gt;0,"Settled","Open"))</f>
        <v/>
      </c>
      <c r="J522" s="9">
        <f>IF(I522&lt;&gt;"Open","",IF(G522&lt;=0,"Current",IF(G522&lt;=30,"1-30",IF(G522&lt;=60,"31-60",IF(G522&lt;=90,"61-90","90+")))))</f>
        <v/>
      </c>
    </row>
    <row r="523">
      <c r="A523" s="8" t="n"/>
      <c r="B523" s="9" t="n"/>
      <c r="C523" s="9" t="n"/>
      <c r="D523" s="9" t="n"/>
      <c r="E523" s="10" t="n"/>
      <c r="F523" s="8" t="n"/>
      <c r="G523" s="9">
        <f>IF(I523="Settled","",MAX(0,TODAY()-F523))</f>
        <v/>
      </c>
      <c r="H523" s="9">
        <f>IF(E523="","",TEXT(E523,"0.00")&amp;"|"&amp;IF(B523="Invoice","AR","AP"))</f>
        <v/>
      </c>
      <c r="I523" s="9">
        <f>IF(H523="","",IF(COUNTIF(Bank!$F:$F,H523)&gt;0,"Settled","Open"))</f>
        <v/>
      </c>
      <c r="J523" s="9">
        <f>IF(I523&lt;&gt;"Open","",IF(G523&lt;=0,"Current",IF(G523&lt;=30,"1-30",IF(G523&lt;=60,"31-60",IF(G523&lt;=90,"61-90","90+")))))</f>
        <v/>
      </c>
    </row>
    <row r="524">
      <c r="A524" s="8" t="n"/>
      <c r="B524" s="9" t="n"/>
      <c r="C524" s="9" t="n"/>
      <c r="D524" s="9" t="n"/>
      <c r="E524" s="10" t="n"/>
      <c r="F524" s="8" t="n"/>
      <c r="G524" s="9">
        <f>IF(I524="Settled","",MAX(0,TODAY()-F524))</f>
        <v/>
      </c>
      <c r="H524" s="9">
        <f>IF(E524="","",TEXT(E524,"0.00")&amp;"|"&amp;IF(B524="Invoice","AR","AP"))</f>
        <v/>
      </c>
      <c r="I524" s="9">
        <f>IF(H524="","",IF(COUNTIF(Bank!$F:$F,H524)&gt;0,"Settled","Open"))</f>
        <v/>
      </c>
      <c r="J524" s="9">
        <f>IF(I524&lt;&gt;"Open","",IF(G524&lt;=0,"Current",IF(G524&lt;=30,"1-30",IF(G524&lt;=60,"31-60",IF(G524&lt;=90,"61-90","90+")))))</f>
        <v/>
      </c>
    </row>
    <row r="525">
      <c r="A525" s="8" t="n"/>
      <c r="B525" s="9" t="n"/>
      <c r="C525" s="9" t="n"/>
      <c r="D525" s="9" t="n"/>
      <c r="E525" s="10" t="n"/>
      <c r="F525" s="8" t="n"/>
      <c r="G525" s="9">
        <f>IF(I525="Settled","",MAX(0,TODAY()-F525))</f>
        <v/>
      </c>
      <c r="H525" s="9">
        <f>IF(E525="","",TEXT(E525,"0.00")&amp;"|"&amp;IF(B525="Invoice","AR","AP"))</f>
        <v/>
      </c>
      <c r="I525" s="9">
        <f>IF(H525="","",IF(COUNTIF(Bank!$F:$F,H525)&gt;0,"Settled","Open"))</f>
        <v/>
      </c>
      <c r="J525" s="9">
        <f>IF(I525&lt;&gt;"Open","",IF(G525&lt;=0,"Current",IF(G525&lt;=30,"1-30",IF(G525&lt;=60,"31-60",IF(G525&lt;=90,"61-90","90+")))))</f>
        <v/>
      </c>
    </row>
    <row r="526">
      <c r="A526" s="8" t="n"/>
      <c r="B526" s="9" t="n"/>
      <c r="C526" s="9" t="n"/>
      <c r="D526" s="9" t="n"/>
      <c r="E526" s="10" t="n"/>
      <c r="F526" s="8" t="n"/>
      <c r="G526" s="9">
        <f>IF(I526="Settled","",MAX(0,TODAY()-F526))</f>
        <v/>
      </c>
      <c r="H526" s="9">
        <f>IF(E526="","",TEXT(E526,"0.00")&amp;"|"&amp;IF(B526="Invoice","AR","AP"))</f>
        <v/>
      </c>
      <c r="I526" s="9">
        <f>IF(H526="","",IF(COUNTIF(Bank!$F:$F,H526)&gt;0,"Settled","Open"))</f>
        <v/>
      </c>
      <c r="J526" s="9">
        <f>IF(I526&lt;&gt;"Open","",IF(G526&lt;=0,"Current",IF(G526&lt;=30,"1-30",IF(G526&lt;=60,"31-60",IF(G526&lt;=90,"61-90","90+")))))</f>
        <v/>
      </c>
    </row>
    <row r="527">
      <c r="A527" s="8" t="n"/>
      <c r="B527" s="9" t="n"/>
      <c r="C527" s="9" t="n"/>
      <c r="D527" s="9" t="n"/>
      <c r="E527" s="10" t="n"/>
      <c r="F527" s="8" t="n"/>
      <c r="G527" s="9">
        <f>IF(I527="Settled","",MAX(0,TODAY()-F527))</f>
        <v/>
      </c>
      <c r="H527" s="9">
        <f>IF(E527="","",TEXT(E527,"0.00")&amp;"|"&amp;IF(B527="Invoice","AR","AP"))</f>
        <v/>
      </c>
      <c r="I527" s="9">
        <f>IF(H527="","",IF(COUNTIF(Bank!$F:$F,H527)&gt;0,"Settled","Open"))</f>
        <v/>
      </c>
      <c r="J527" s="9">
        <f>IF(I527&lt;&gt;"Open","",IF(G527&lt;=0,"Current",IF(G527&lt;=30,"1-30",IF(G527&lt;=60,"31-60",IF(G527&lt;=90,"61-90","90+")))))</f>
        <v/>
      </c>
    </row>
    <row r="528">
      <c r="A528" s="8" t="n"/>
      <c r="B528" s="9" t="n"/>
      <c r="C528" s="9" t="n"/>
      <c r="D528" s="9" t="n"/>
      <c r="E528" s="10" t="n"/>
      <c r="F528" s="8" t="n"/>
      <c r="G528" s="9">
        <f>IF(I528="Settled","",MAX(0,TODAY()-F528))</f>
        <v/>
      </c>
      <c r="H528" s="9">
        <f>IF(E528="","",TEXT(E528,"0.00")&amp;"|"&amp;IF(B528="Invoice","AR","AP"))</f>
        <v/>
      </c>
      <c r="I528" s="9">
        <f>IF(H528="","",IF(COUNTIF(Bank!$F:$F,H528)&gt;0,"Settled","Open"))</f>
        <v/>
      </c>
      <c r="J528" s="9">
        <f>IF(I528&lt;&gt;"Open","",IF(G528&lt;=0,"Current",IF(G528&lt;=30,"1-30",IF(G528&lt;=60,"31-60",IF(G528&lt;=90,"61-90","90+")))))</f>
        <v/>
      </c>
    </row>
    <row r="529">
      <c r="A529" s="8" t="n"/>
      <c r="B529" s="9" t="n"/>
      <c r="C529" s="9" t="n"/>
      <c r="D529" s="9" t="n"/>
      <c r="E529" s="10" t="n"/>
      <c r="F529" s="8" t="n"/>
      <c r="G529" s="9">
        <f>IF(I529="Settled","",MAX(0,TODAY()-F529))</f>
        <v/>
      </c>
      <c r="H529" s="9">
        <f>IF(E529="","",TEXT(E529,"0.00")&amp;"|"&amp;IF(B529="Invoice","AR","AP"))</f>
        <v/>
      </c>
      <c r="I529" s="9">
        <f>IF(H529="","",IF(COUNTIF(Bank!$F:$F,H529)&gt;0,"Settled","Open"))</f>
        <v/>
      </c>
      <c r="J529" s="9">
        <f>IF(I529&lt;&gt;"Open","",IF(G529&lt;=0,"Current",IF(G529&lt;=30,"1-30",IF(G529&lt;=60,"31-60",IF(G529&lt;=90,"61-90","90+")))))</f>
        <v/>
      </c>
    </row>
    <row r="530">
      <c r="A530" s="8" t="n"/>
      <c r="B530" s="9" t="n"/>
      <c r="C530" s="9" t="n"/>
      <c r="D530" s="9" t="n"/>
      <c r="E530" s="10" t="n"/>
      <c r="F530" s="8" t="n"/>
      <c r="G530" s="9">
        <f>IF(I530="Settled","",MAX(0,TODAY()-F530))</f>
        <v/>
      </c>
      <c r="H530" s="9">
        <f>IF(E530="","",TEXT(E530,"0.00")&amp;"|"&amp;IF(B530="Invoice","AR","AP"))</f>
        <v/>
      </c>
      <c r="I530" s="9">
        <f>IF(H530="","",IF(COUNTIF(Bank!$F:$F,H530)&gt;0,"Settled","Open"))</f>
        <v/>
      </c>
      <c r="J530" s="9">
        <f>IF(I530&lt;&gt;"Open","",IF(G530&lt;=0,"Current",IF(G530&lt;=30,"1-30",IF(G530&lt;=60,"31-60",IF(G530&lt;=90,"61-90","90+")))))</f>
        <v/>
      </c>
    </row>
    <row r="531">
      <c r="A531" s="8" t="n"/>
      <c r="B531" s="9" t="n"/>
      <c r="C531" s="9" t="n"/>
      <c r="D531" s="9" t="n"/>
      <c r="E531" s="10" t="n"/>
      <c r="F531" s="8" t="n"/>
      <c r="G531" s="9">
        <f>IF(I531="Settled","",MAX(0,TODAY()-F531))</f>
        <v/>
      </c>
      <c r="H531" s="9">
        <f>IF(E531="","",TEXT(E531,"0.00")&amp;"|"&amp;IF(B531="Invoice","AR","AP"))</f>
        <v/>
      </c>
      <c r="I531" s="9">
        <f>IF(H531="","",IF(COUNTIF(Bank!$F:$F,H531)&gt;0,"Settled","Open"))</f>
        <v/>
      </c>
      <c r="J531" s="9">
        <f>IF(I531&lt;&gt;"Open","",IF(G531&lt;=0,"Current",IF(G531&lt;=30,"1-30",IF(G531&lt;=60,"31-60",IF(G531&lt;=90,"61-90","90+")))))</f>
        <v/>
      </c>
    </row>
    <row r="532">
      <c r="A532" s="8" t="n"/>
      <c r="B532" s="9" t="n"/>
      <c r="C532" s="9" t="n"/>
      <c r="D532" s="9" t="n"/>
      <c r="E532" s="10" t="n"/>
      <c r="F532" s="8" t="n"/>
      <c r="G532" s="9">
        <f>IF(I532="Settled","",MAX(0,TODAY()-F532))</f>
        <v/>
      </c>
      <c r="H532" s="9">
        <f>IF(E532="","",TEXT(E532,"0.00")&amp;"|"&amp;IF(B532="Invoice","AR","AP"))</f>
        <v/>
      </c>
      <c r="I532" s="9">
        <f>IF(H532="","",IF(COUNTIF(Bank!$F:$F,H532)&gt;0,"Settled","Open"))</f>
        <v/>
      </c>
      <c r="J532" s="9">
        <f>IF(I532&lt;&gt;"Open","",IF(G532&lt;=0,"Current",IF(G532&lt;=30,"1-30",IF(G532&lt;=60,"31-60",IF(G532&lt;=90,"61-90","90+")))))</f>
        <v/>
      </c>
    </row>
    <row r="533">
      <c r="A533" s="8" t="n"/>
      <c r="B533" s="9" t="n"/>
      <c r="C533" s="9" t="n"/>
      <c r="D533" s="9" t="n"/>
      <c r="E533" s="10" t="n"/>
      <c r="F533" s="8" t="n"/>
      <c r="G533" s="9">
        <f>IF(I533="Settled","",MAX(0,TODAY()-F533))</f>
        <v/>
      </c>
      <c r="H533" s="9">
        <f>IF(E533="","",TEXT(E533,"0.00")&amp;"|"&amp;IF(B533="Invoice","AR","AP"))</f>
        <v/>
      </c>
      <c r="I533" s="9">
        <f>IF(H533="","",IF(COUNTIF(Bank!$F:$F,H533)&gt;0,"Settled","Open"))</f>
        <v/>
      </c>
      <c r="J533" s="9">
        <f>IF(I533&lt;&gt;"Open","",IF(G533&lt;=0,"Current",IF(G533&lt;=30,"1-30",IF(G533&lt;=60,"31-60",IF(G533&lt;=90,"61-90","90+")))))</f>
        <v/>
      </c>
    </row>
    <row r="534">
      <c r="A534" s="8" t="n"/>
      <c r="B534" s="9" t="n"/>
      <c r="C534" s="9" t="n"/>
      <c r="D534" s="9" t="n"/>
      <c r="E534" s="10" t="n"/>
      <c r="F534" s="8" t="n"/>
      <c r="G534" s="9">
        <f>IF(I534="Settled","",MAX(0,TODAY()-F534))</f>
        <v/>
      </c>
      <c r="H534" s="9">
        <f>IF(E534="","",TEXT(E534,"0.00")&amp;"|"&amp;IF(B534="Invoice","AR","AP"))</f>
        <v/>
      </c>
      <c r="I534" s="9">
        <f>IF(H534="","",IF(COUNTIF(Bank!$F:$F,H534)&gt;0,"Settled","Open"))</f>
        <v/>
      </c>
      <c r="J534" s="9">
        <f>IF(I534&lt;&gt;"Open","",IF(G534&lt;=0,"Current",IF(G534&lt;=30,"1-30",IF(G534&lt;=60,"31-60",IF(G534&lt;=90,"61-90","90+")))))</f>
        <v/>
      </c>
    </row>
    <row r="535">
      <c r="A535" s="8" t="n"/>
      <c r="B535" s="9" t="n"/>
      <c r="C535" s="9" t="n"/>
      <c r="D535" s="9" t="n"/>
      <c r="E535" s="10" t="n"/>
      <c r="F535" s="8" t="n"/>
      <c r="G535" s="9">
        <f>IF(I535="Settled","",MAX(0,TODAY()-F535))</f>
        <v/>
      </c>
      <c r="H535" s="9">
        <f>IF(E535="","",TEXT(E535,"0.00")&amp;"|"&amp;IF(B535="Invoice","AR","AP"))</f>
        <v/>
      </c>
      <c r="I535" s="9">
        <f>IF(H535="","",IF(COUNTIF(Bank!$F:$F,H535)&gt;0,"Settled","Open"))</f>
        <v/>
      </c>
      <c r="J535" s="9">
        <f>IF(I535&lt;&gt;"Open","",IF(G535&lt;=0,"Current",IF(G535&lt;=30,"1-30",IF(G535&lt;=60,"31-60",IF(G535&lt;=90,"61-90","90+")))))</f>
        <v/>
      </c>
    </row>
    <row r="536">
      <c r="A536" s="8" t="n"/>
      <c r="B536" s="9" t="n"/>
      <c r="C536" s="9" t="n"/>
      <c r="D536" s="9" t="n"/>
      <c r="E536" s="10" t="n"/>
      <c r="F536" s="8" t="n"/>
      <c r="G536" s="9">
        <f>IF(I536="Settled","",MAX(0,TODAY()-F536))</f>
        <v/>
      </c>
      <c r="H536" s="9">
        <f>IF(E536="","",TEXT(E536,"0.00")&amp;"|"&amp;IF(B536="Invoice","AR","AP"))</f>
        <v/>
      </c>
      <c r="I536" s="9">
        <f>IF(H536="","",IF(COUNTIF(Bank!$F:$F,H536)&gt;0,"Settled","Open"))</f>
        <v/>
      </c>
      <c r="J536" s="9">
        <f>IF(I536&lt;&gt;"Open","",IF(G536&lt;=0,"Current",IF(G536&lt;=30,"1-30",IF(G536&lt;=60,"31-60",IF(G536&lt;=90,"61-90","90+")))))</f>
        <v/>
      </c>
    </row>
    <row r="537">
      <c r="A537" s="8" t="n"/>
      <c r="B537" s="9" t="n"/>
      <c r="C537" s="9" t="n"/>
      <c r="D537" s="9" t="n"/>
      <c r="E537" s="10" t="n"/>
      <c r="F537" s="8" t="n"/>
      <c r="G537" s="9">
        <f>IF(I537="Settled","",MAX(0,TODAY()-F537))</f>
        <v/>
      </c>
      <c r="H537" s="9">
        <f>IF(E537="","",TEXT(E537,"0.00")&amp;"|"&amp;IF(B537="Invoice","AR","AP"))</f>
        <v/>
      </c>
      <c r="I537" s="9">
        <f>IF(H537="","",IF(COUNTIF(Bank!$F:$F,H537)&gt;0,"Settled","Open"))</f>
        <v/>
      </c>
      <c r="J537" s="9">
        <f>IF(I537&lt;&gt;"Open","",IF(G537&lt;=0,"Current",IF(G537&lt;=30,"1-30",IF(G537&lt;=60,"31-60",IF(G537&lt;=90,"61-90","90+")))))</f>
        <v/>
      </c>
    </row>
    <row r="538">
      <c r="A538" s="8" t="n"/>
      <c r="B538" s="9" t="n"/>
      <c r="C538" s="9" t="n"/>
      <c r="D538" s="9" t="n"/>
      <c r="E538" s="10" t="n"/>
      <c r="F538" s="8" t="n"/>
      <c r="G538" s="9">
        <f>IF(I538="Settled","",MAX(0,TODAY()-F538))</f>
        <v/>
      </c>
      <c r="H538" s="9">
        <f>IF(E538="","",TEXT(E538,"0.00")&amp;"|"&amp;IF(B538="Invoice","AR","AP"))</f>
        <v/>
      </c>
      <c r="I538" s="9">
        <f>IF(H538="","",IF(COUNTIF(Bank!$F:$F,H538)&gt;0,"Settled","Open"))</f>
        <v/>
      </c>
      <c r="J538" s="9">
        <f>IF(I538&lt;&gt;"Open","",IF(G538&lt;=0,"Current",IF(G538&lt;=30,"1-30",IF(G538&lt;=60,"31-60",IF(G538&lt;=90,"61-90","90+")))))</f>
        <v/>
      </c>
    </row>
    <row r="539">
      <c r="A539" s="8" t="n"/>
      <c r="B539" s="9" t="n"/>
      <c r="C539" s="9" t="n"/>
      <c r="D539" s="9" t="n"/>
      <c r="E539" s="10" t="n"/>
      <c r="F539" s="8" t="n"/>
      <c r="G539" s="9">
        <f>IF(I539="Settled","",MAX(0,TODAY()-F539))</f>
        <v/>
      </c>
      <c r="H539" s="9">
        <f>IF(E539="","",TEXT(E539,"0.00")&amp;"|"&amp;IF(B539="Invoice","AR","AP"))</f>
        <v/>
      </c>
      <c r="I539" s="9">
        <f>IF(H539="","",IF(COUNTIF(Bank!$F:$F,H539)&gt;0,"Settled","Open"))</f>
        <v/>
      </c>
      <c r="J539" s="9">
        <f>IF(I539&lt;&gt;"Open","",IF(G539&lt;=0,"Current",IF(G539&lt;=30,"1-30",IF(G539&lt;=60,"31-60",IF(G539&lt;=90,"61-90","90+")))))</f>
        <v/>
      </c>
    </row>
    <row r="540">
      <c r="A540" s="8" t="n"/>
      <c r="B540" s="9" t="n"/>
      <c r="C540" s="9" t="n"/>
      <c r="D540" s="9" t="n"/>
      <c r="E540" s="10" t="n"/>
      <c r="F540" s="8" t="n"/>
      <c r="G540" s="9">
        <f>IF(I540="Settled","",MAX(0,TODAY()-F540))</f>
        <v/>
      </c>
      <c r="H540" s="9">
        <f>IF(E540="","",TEXT(E540,"0.00")&amp;"|"&amp;IF(B540="Invoice","AR","AP"))</f>
        <v/>
      </c>
      <c r="I540" s="9">
        <f>IF(H540="","",IF(COUNTIF(Bank!$F:$F,H540)&gt;0,"Settled","Open"))</f>
        <v/>
      </c>
      <c r="J540" s="9">
        <f>IF(I540&lt;&gt;"Open","",IF(G540&lt;=0,"Current",IF(G540&lt;=30,"1-30",IF(G540&lt;=60,"31-60",IF(G540&lt;=90,"61-90","90+")))))</f>
        <v/>
      </c>
    </row>
    <row r="541">
      <c r="A541" s="8" t="n"/>
      <c r="B541" s="9" t="n"/>
      <c r="C541" s="9" t="n"/>
      <c r="D541" s="9" t="n"/>
      <c r="E541" s="10" t="n"/>
      <c r="F541" s="8" t="n"/>
      <c r="G541" s="9">
        <f>IF(I541="Settled","",MAX(0,TODAY()-F541))</f>
        <v/>
      </c>
      <c r="H541" s="9">
        <f>IF(E541="","",TEXT(E541,"0.00")&amp;"|"&amp;IF(B541="Invoice","AR","AP"))</f>
        <v/>
      </c>
      <c r="I541" s="9">
        <f>IF(H541="","",IF(COUNTIF(Bank!$F:$F,H541)&gt;0,"Settled","Open"))</f>
        <v/>
      </c>
      <c r="J541" s="9">
        <f>IF(I541&lt;&gt;"Open","",IF(G541&lt;=0,"Current",IF(G541&lt;=30,"1-30",IF(G541&lt;=60,"31-60",IF(G541&lt;=90,"61-90","90+")))))</f>
        <v/>
      </c>
    </row>
    <row r="542">
      <c r="A542" s="8" t="n"/>
      <c r="B542" s="9" t="n"/>
      <c r="C542" s="9" t="n"/>
      <c r="D542" s="9" t="n"/>
      <c r="E542" s="10" t="n"/>
      <c r="F542" s="8" t="n"/>
      <c r="G542" s="9">
        <f>IF(I542="Settled","",MAX(0,TODAY()-F542))</f>
        <v/>
      </c>
      <c r="H542" s="9">
        <f>IF(E542="","",TEXT(E542,"0.00")&amp;"|"&amp;IF(B542="Invoice","AR","AP"))</f>
        <v/>
      </c>
      <c r="I542" s="9">
        <f>IF(H542="","",IF(COUNTIF(Bank!$F:$F,H542)&gt;0,"Settled","Open"))</f>
        <v/>
      </c>
      <c r="J542" s="9">
        <f>IF(I542&lt;&gt;"Open","",IF(G542&lt;=0,"Current",IF(G542&lt;=30,"1-30",IF(G542&lt;=60,"31-60",IF(G542&lt;=90,"61-90","90+")))))</f>
        <v/>
      </c>
    </row>
    <row r="543">
      <c r="A543" s="8" t="n"/>
      <c r="B543" s="9" t="n"/>
      <c r="C543" s="9" t="n"/>
      <c r="D543" s="9" t="n"/>
      <c r="E543" s="10" t="n"/>
      <c r="F543" s="8" t="n"/>
      <c r="G543" s="9">
        <f>IF(I543="Settled","",MAX(0,TODAY()-F543))</f>
        <v/>
      </c>
      <c r="H543" s="9">
        <f>IF(E543="","",TEXT(E543,"0.00")&amp;"|"&amp;IF(B543="Invoice","AR","AP"))</f>
        <v/>
      </c>
      <c r="I543" s="9">
        <f>IF(H543="","",IF(COUNTIF(Bank!$F:$F,H543)&gt;0,"Settled","Open"))</f>
        <v/>
      </c>
      <c r="J543" s="9">
        <f>IF(I543&lt;&gt;"Open","",IF(G543&lt;=0,"Current",IF(G543&lt;=30,"1-30",IF(G543&lt;=60,"31-60",IF(G543&lt;=90,"61-90","90+")))))</f>
        <v/>
      </c>
    </row>
    <row r="544">
      <c r="A544" s="8" t="n"/>
      <c r="B544" s="9" t="n"/>
      <c r="C544" s="9" t="n"/>
      <c r="D544" s="9" t="n"/>
      <c r="E544" s="10" t="n"/>
      <c r="F544" s="8" t="n"/>
      <c r="G544" s="9">
        <f>IF(I544="Settled","",MAX(0,TODAY()-F544))</f>
        <v/>
      </c>
      <c r="H544" s="9">
        <f>IF(E544="","",TEXT(E544,"0.00")&amp;"|"&amp;IF(B544="Invoice","AR","AP"))</f>
        <v/>
      </c>
      <c r="I544" s="9">
        <f>IF(H544="","",IF(COUNTIF(Bank!$F:$F,H544)&gt;0,"Settled","Open"))</f>
        <v/>
      </c>
      <c r="J544" s="9">
        <f>IF(I544&lt;&gt;"Open","",IF(G544&lt;=0,"Current",IF(G544&lt;=30,"1-30",IF(G544&lt;=60,"31-60",IF(G544&lt;=90,"61-90","90+")))))</f>
        <v/>
      </c>
    </row>
    <row r="545">
      <c r="A545" s="8" t="n"/>
      <c r="B545" s="9" t="n"/>
      <c r="C545" s="9" t="n"/>
      <c r="D545" s="9" t="n"/>
      <c r="E545" s="10" t="n"/>
      <c r="F545" s="8" t="n"/>
      <c r="G545" s="9">
        <f>IF(I545="Settled","",MAX(0,TODAY()-F545))</f>
        <v/>
      </c>
      <c r="H545" s="9">
        <f>IF(E545="","",TEXT(E545,"0.00")&amp;"|"&amp;IF(B545="Invoice","AR","AP"))</f>
        <v/>
      </c>
      <c r="I545" s="9">
        <f>IF(H545="","",IF(COUNTIF(Bank!$F:$F,H545)&gt;0,"Settled","Open"))</f>
        <v/>
      </c>
      <c r="J545" s="9">
        <f>IF(I545&lt;&gt;"Open","",IF(G545&lt;=0,"Current",IF(G545&lt;=30,"1-30",IF(G545&lt;=60,"31-60",IF(G545&lt;=90,"61-90","90+")))))</f>
        <v/>
      </c>
    </row>
    <row r="546">
      <c r="A546" s="8" t="n"/>
      <c r="B546" s="9" t="n"/>
      <c r="C546" s="9" t="n"/>
      <c r="D546" s="9" t="n"/>
      <c r="E546" s="10" t="n"/>
      <c r="F546" s="8" t="n"/>
      <c r="G546" s="9">
        <f>IF(I546="Settled","",MAX(0,TODAY()-F546))</f>
        <v/>
      </c>
      <c r="H546" s="9">
        <f>IF(E546="","",TEXT(E546,"0.00")&amp;"|"&amp;IF(B546="Invoice","AR","AP"))</f>
        <v/>
      </c>
      <c r="I546" s="9">
        <f>IF(H546="","",IF(COUNTIF(Bank!$F:$F,H546)&gt;0,"Settled","Open"))</f>
        <v/>
      </c>
      <c r="J546" s="9">
        <f>IF(I546&lt;&gt;"Open","",IF(G546&lt;=0,"Current",IF(G546&lt;=30,"1-30",IF(G546&lt;=60,"31-60",IF(G546&lt;=90,"61-90","90+")))))</f>
        <v/>
      </c>
    </row>
    <row r="547">
      <c r="A547" s="8" t="n"/>
      <c r="B547" s="9" t="n"/>
      <c r="C547" s="9" t="n"/>
      <c r="D547" s="9" t="n"/>
      <c r="E547" s="10" t="n"/>
      <c r="F547" s="8" t="n"/>
      <c r="G547" s="9">
        <f>IF(I547="Settled","",MAX(0,TODAY()-F547))</f>
        <v/>
      </c>
      <c r="H547" s="9">
        <f>IF(E547="","",TEXT(E547,"0.00")&amp;"|"&amp;IF(B547="Invoice","AR","AP"))</f>
        <v/>
      </c>
      <c r="I547" s="9">
        <f>IF(H547="","",IF(COUNTIF(Bank!$F:$F,H547)&gt;0,"Settled","Open"))</f>
        <v/>
      </c>
      <c r="J547" s="9">
        <f>IF(I547&lt;&gt;"Open","",IF(G547&lt;=0,"Current",IF(G547&lt;=30,"1-30",IF(G547&lt;=60,"31-60",IF(G547&lt;=90,"61-90","90+")))))</f>
        <v/>
      </c>
    </row>
    <row r="548">
      <c r="A548" s="8" t="n"/>
      <c r="B548" s="9" t="n"/>
      <c r="C548" s="9" t="n"/>
      <c r="D548" s="9" t="n"/>
      <c r="E548" s="10" t="n"/>
      <c r="F548" s="8" t="n"/>
      <c r="G548" s="9">
        <f>IF(I548="Settled","",MAX(0,TODAY()-F548))</f>
        <v/>
      </c>
      <c r="H548" s="9">
        <f>IF(E548="","",TEXT(E548,"0.00")&amp;"|"&amp;IF(B548="Invoice","AR","AP"))</f>
        <v/>
      </c>
      <c r="I548" s="9">
        <f>IF(H548="","",IF(COUNTIF(Bank!$F:$F,H548)&gt;0,"Settled","Open"))</f>
        <v/>
      </c>
      <c r="J548" s="9">
        <f>IF(I548&lt;&gt;"Open","",IF(G548&lt;=0,"Current",IF(G548&lt;=30,"1-30",IF(G548&lt;=60,"31-60",IF(G548&lt;=90,"61-90","90+")))))</f>
        <v/>
      </c>
    </row>
    <row r="549">
      <c r="A549" s="8" t="n"/>
      <c r="B549" s="9" t="n"/>
      <c r="C549" s="9" t="n"/>
      <c r="D549" s="9" t="n"/>
      <c r="E549" s="10" t="n"/>
      <c r="F549" s="8" t="n"/>
      <c r="G549" s="9">
        <f>IF(I549="Settled","",MAX(0,TODAY()-F549))</f>
        <v/>
      </c>
      <c r="H549" s="9">
        <f>IF(E549="","",TEXT(E549,"0.00")&amp;"|"&amp;IF(B549="Invoice","AR","AP"))</f>
        <v/>
      </c>
      <c r="I549" s="9">
        <f>IF(H549="","",IF(COUNTIF(Bank!$F:$F,H549)&gt;0,"Settled","Open"))</f>
        <v/>
      </c>
      <c r="J549" s="9">
        <f>IF(I549&lt;&gt;"Open","",IF(G549&lt;=0,"Current",IF(G549&lt;=30,"1-30",IF(G549&lt;=60,"31-60",IF(G549&lt;=90,"61-90","90+")))))</f>
        <v/>
      </c>
    </row>
    <row r="550">
      <c r="A550" s="8" t="n"/>
      <c r="B550" s="9" t="n"/>
      <c r="C550" s="9" t="n"/>
      <c r="D550" s="9" t="n"/>
      <c r="E550" s="10" t="n"/>
      <c r="F550" s="8" t="n"/>
      <c r="G550" s="9">
        <f>IF(I550="Settled","",MAX(0,TODAY()-F550))</f>
        <v/>
      </c>
      <c r="H550" s="9">
        <f>IF(E550="","",TEXT(E550,"0.00")&amp;"|"&amp;IF(B550="Invoice","AR","AP"))</f>
        <v/>
      </c>
      <c r="I550" s="9">
        <f>IF(H550="","",IF(COUNTIF(Bank!$F:$F,H550)&gt;0,"Settled","Open"))</f>
        <v/>
      </c>
      <c r="J550" s="9">
        <f>IF(I550&lt;&gt;"Open","",IF(G550&lt;=0,"Current",IF(G550&lt;=30,"1-30",IF(G550&lt;=60,"31-60",IF(G550&lt;=90,"61-90","90+")))))</f>
        <v/>
      </c>
    </row>
    <row r="551">
      <c r="A551" s="8" t="n"/>
      <c r="B551" s="9" t="n"/>
      <c r="C551" s="9" t="n"/>
      <c r="D551" s="9" t="n"/>
      <c r="E551" s="10" t="n"/>
      <c r="F551" s="8" t="n"/>
      <c r="G551" s="9">
        <f>IF(I551="Settled","",MAX(0,TODAY()-F551))</f>
        <v/>
      </c>
      <c r="H551" s="9">
        <f>IF(E551="","",TEXT(E551,"0.00")&amp;"|"&amp;IF(B551="Invoice","AR","AP"))</f>
        <v/>
      </c>
      <c r="I551" s="9">
        <f>IF(H551="","",IF(COUNTIF(Bank!$F:$F,H551)&gt;0,"Settled","Open"))</f>
        <v/>
      </c>
      <c r="J551" s="9">
        <f>IF(I551&lt;&gt;"Open","",IF(G551&lt;=0,"Current",IF(G551&lt;=30,"1-30",IF(G551&lt;=60,"31-60",IF(G551&lt;=90,"61-90","90+")))))</f>
        <v/>
      </c>
    </row>
    <row r="552">
      <c r="A552" s="8" t="n"/>
      <c r="B552" s="9" t="n"/>
      <c r="C552" s="9" t="n"/>
      <c r="D552" s="9" t="n"/>
      <c r="E552" s="10" t="n"/>
      <c r="F552" s="8" t="n"/>
      <c r="G552" s="9">
        <f>IF(I552="Settled","",MAX(0,TODAY()-F552))</f>
        <v/>
      </c>
      <c r="H552" s="9">
        <f>IF(E552="","",TEXT(E552,"0.00")&amp;"|"&amp;IF(B552="Invoice","AR","AP"))</f>
        <v/>
      </c>
      <c r="I552" s="9">
        <f>IF(H552="","",IF(COUNTIF(Bank!$F:$F,H552)&gt;0,"Settled","Open"))</f>
        <v/>
      </c>
      <c r="J552" s="9">
        <f>IF(I552&lt;&gt;"Open","",IF(G552&lt;=0,"Current",IF(G552&lt;=30,"1-30",IF(G552&lt;=60,"31-60",IF(G552&lt;=90,"61-90","90+")))))</f>
        <v/>
      </c>
    </row>
    <row r="553">
      <c r="A553" s="8" t="n"/>
      <c r="B553" s="9" t="n"/>
      <c r="C553" s="9" t="n"/>
      <c r="D553" s="9" t="n"/>
      <c r="E553" s="10" t="n"/>
      <c r="F553" s="8" t="n"/>
      <c r="G553" s="9">
        <f>IF(I553="Settled","",MAX(0,TODAY()-F553))</f>
        <v/>
      </c>
      <c r="H553" s="9">
        <f>IF(E553="","",TEXT(E553,"0.00")&amp;"|"&amp;IF(B553="Invoice","AR","AP"))</f>
        <v/>
      </c>
      <c r="I553" s="9">
        <f>IF(H553="","",IF(COUNTIF(Bank!$F:$F,H553)&gt;0,"Settled","Open"))</f>
        <v/>
      </c>
      <c r="J553" s="9">
        <f>IF(I553&lt;&gt;"Open","",IF(G553&lt;=0,"Current",IF(G553&lt;=30,"1-30",IF(G553&lt;=60,"31-60",IF(G553&lt;=90,"61-90","90+")))))</f>
        <v/>
      </c>
    </row>
    <row r="554">
      <c r="A554" s="8" t="n"/>
      <c r="B554" s="9" t="n"/>
      <c r="C554" s="9" t="n"/>
      <c r="D554" s="9" t="n"/>
      <c r="E554" s="10" t="n"/>
      <c r="F554" s="8" t="n"/>
      <c r="G554" s="9">
        <f>IF(I554="Settled","",MAX(0,TODAY()-F554))</f>
        <v/>
      </c>
      <c r="H554" s="9">
        <f>IF(E554="","",TEXT(E554,"0.00")&amp;"|"&amp;IF(B554="Invoice","AR","AP"))</f>
        <v/>
      </c>
      <c r="I554" s="9">
        <f>IF(H554="","",IF(COUNTIF(Bank!$F:$F,H554)&gt;0,"Settled","Open"))</f>
        <v/>
      </c>
      <c r="J554" s="9">
        <f>IF(I554&lt;&gt;"Open","",IF(G554&lt;=0,"Current",IF(G554&lt;=30,"1-30",IF(G554&lt;=60,"31-60",IF(G554&lt;=90,"61-90","90+")))))</f>
        <v/>
      </c>
    </row>
    <row r="555">
      <c r="A555" s="8" t="n"/>
      <c r="B555" s="9" t="n"/>
      <c r="C555" s="9" t="n"/>
      <c r="D555" s="9" t="n"/>
      <c r="E555" s="10" t="n"/>
      <c r="F555" s="8" t="n"/>
      <c r="G555" s="9">
        <f>IF(I555="Settled","",MAX(0,TODAY()-F555))</f>
        <v/>
      </c>
      <c r="H555" s="9">
        <f>IF(E555="","",TEXT(E555,"0.00")&amp;"|"&amp;IF(B555="Invoice","AR","AP"))</f>
        <v/>
      </c>
      <c r="I555" s="9">
        <f>IF(H555="","",IF(COUNTIF(Bank!$F:$F,H555)&gt;0,"Settled","Open"))</f>
        <v/>
      </c>
      <c r="J555" s="9">
        <f>IF(I555&lt;&gt;"Open","",IF(G555&lt;=0,"Current",IF(G555&lt;=30,"1-30",IF(G555&lt;=60,"31-60",IF(G555&lt;=90,"61-90","90+")))))</f>
        <v/>
      </c>
    </row>
    <row r="556">
      <c r="A556" s="8" t="n"/>
      <c r="B556" s="9" t="n"/>
      <c r="C556" s="9" t="n"/>
      <c r="D556" s="9" t="n"/>
      <c r="E556" s="10" t="n"/>
      <c r="F556" s="8" t="n"/>
      <c r="G556" s="9">
        <f>IF(I556="Settled","",MAX(0,TODAY()-F556))</f>
        <v/>
      </c>
      <c r="H556" s="9">
        <f>IF(E556="","",TEXT(E556,"0.00")&amp;"|"&amp;IF(B556="Invoice","AR","AP"))</f>
        <v/>
      </c>
      <c r="I556" s="9">
        <f>IF(H556="","",IF(COUNTIF(Bank!$F:$F,H556)&gt;0,"Settled","Open"))</f>
        <v/>
      </c>
      <c r="J556" s="9">
        <f>IF(I556&lt;&gt;"Open","",IF(G556&lt;=0,"Current",IF(G556&lt;=30,"1-30",IF(G556&lt;=60,"31-60",IF(G556&lt;=90,"61-90","90+")))))</f>
        <v/>
      </c>
    </row>
    <row r="557">
      <c r="A557" s="8" t="n"/>
      <c r="B557" s="9" t="n"/>
      <c r="C557" s="9" t="n"/>
      <c r="D557" s="9" t="n"/>
      <c r="E557" s="10" t="n"/>
      <c r="F557" s="8" t="n"/>
      <c r="G557" s="9">
        <f>IF(I557="Settled","",MAX(0,TODAY()-F557))</f>
        <v/>
      </c>
      <c r="H557" s="9">
        <f>IF(E557="","",TEXT(E557,"0.00")&amp;"|"&amp;IF(B557="Invoice","AR","AP"))</f>
        <v/>
      </c>
      <c r="I557" s="9">
        <f>IF(H557="","",IF(COUNTIF(Bank!$F:$F,H557)&gt;0,"Settled","Open"))</f>
        <v/>
      </c>
      <c r="J557" s="9">
        <f>IF(I557&lt;&gt;"Open","",IF(G557&lt;=0,"Current",IF(G557&lt;=30,"1-30",IF(G557&lt;=60,"31-60",IF(G557&lt;=90,"61-90","90+")))))</f>
        <v/>
      </c>
    </row>
    <row r="558">
      <c r="A558" s="8" t="n"/>
      <c r="B558" s="9" t="n"/>
      <c r="C558" s="9" t="n"/>
      <c r="D558" s="9" t="n"/>
      <c r="E558" s="10" t="n"/>
      <c r="F558" s="8" t="n"/>
      <c r="G558" s="9">
        <f>IF(I558="Settled","",MAX(0,TODAY()-F558))</f>
        <v/>
      </c>
      <c r="H558" s="9">
        <f>IF(E558="","",TEXT(E558,"0.00")&amp;"|"&amp;IF(B558="Invoice","AR","AP"))</f>
        <v/>
      </c>
      <c r="I558" s="9">
        <f>IF(H558="","",IF(COUNTIF(Bank!$F:$F,H558)&gt;0,"Settled","Open"))</f>
        <v/>
      </c>
      <c r="J558" s="9">
        <f>IF(I558&lt;&gt;"Open","",IF(G558&lt;=0,"Current",IF(G558&lt;=30,"1-30",IF(G558&lt;=60,"31-60",IF(G558&lt;=90,"61-90","90+")))))</f>
        <v/>
      </c>
    </row>
    <row r="559">
      <c r="A559" s="8" t="n"/>
      <c r="B559" s="9" t="n"/>
      <c r="C559" s="9" t="n"/>
      <c r="D559" s="9" t="n"/>
      <c r="E559" s="10" t="n"/>
      <c r="F559" s="8" t="n"/>
      <c r="G559" s="9">
        <f>IF(I559="Settled","",MAX(0,TODAY()-F559))</f>
        <v/>
      </c>
      <c r="H559" s="9">
        <f>IF(E559="","",TEXT(E559,"0.00")&amp;"|"&amp;IF(B559="Invoice","AR","AP"))</f>
        <v/>
      </c>
      <c r="I559" s="9">
        <f>IF(H559="","",IF(COUNTIF(Bank!$F:$F,H559)&gt;0,"Settled","Open"))</f>
        <v/>
      </c>
      <c r="J559" s="9">
        <f>IF(I559&lt;&gt;"Open","",IF(G559&lt;=0,"Current",IF(G559&lt;=30,"1-30",IF(G559&lt;=60,"31-60",IF(G559&lt;=90,"61-90","90+")))))</f>
        <v/>
      </c>
    </row>
    <row r="560">
      <c r="A560" s="8" t="n"/>
      <c r="B560" s="9" t="n"/>
      <c r="C560" s="9" t="n"/>
      <c r="D560" s="9" t="n"/>
      <c r="E560" s="10" t="n"/>
      <c r="F560" s="8" t="n"/>
      <c r="G560" s="9">
        <f>IF(I560="Settled","",MAX(0,TODAY()-F560))</f>
        <v/>
      </c>
      <c r="H560" s="9">
        <f>IF(E560="","",TEXT(E560,"0.00")&amp;"|"&amp;IF(B560="Invoice","AR","AP"))</f>
        <v/>
      </c>
      <c r="I560" s="9">
        <f>IF(H560="","",IF(COUNTIF(Bank!$F:$F,H560)&gt;0,"Settled","Open"))</f>
        <v/>
      </c>
      <c r="J560" s="9">
        <f>IF(I560&lt;&gt;"Open","",IF(G560&lt;=0,"Current",IF(G560&lt;=30,"1-30",IF(G560&lt;=60,"31-60",IF(G560&lt;=90,"61-90","90+")))))</f>
        <v/>
      </c>
    </row>
    <row r="561">
      <c r="A561" s="8" t="n"/>
      <c r="B561" s="9" t="n"/>
      <c r="C561" s="9" t="n"/>
      <c r="D561" s="9" t="n"/>
      <c r="E561" s="10" t="n"/>
      <c r="F561" s="8" t="n"/>
      <c r="G561" s="9">
        <f>IF(I561="Settled","",MAX(0,TODAY()-F561))</f>
        <v/>
      </c>
      <c r="H561" s="9">
        <f>IF(E561="","",TEXT(E561,"0.00")&amp;"|"&amp;IF(B561="Invoice","AR","AP"))</f>
        <v/>
      </c>
      <c r="I561" s="9">
        <f>IF(H561="","",IF(COUNTIF(Bank!$F:$F,H561)&gt;0,"Settled","Open"))</f>
        <v/>
      </c>
      <c r="J561" s="9">
        <f>IF(I561&lt;&gt;"Open","",IF(G561&lt;=0,"Current",IF(G561&lt;=30,"1-30",IF(G561&lt;=60,"31-60",IF(G561&lt;=90,"61-90","90+")))))</f>
        <v/>
      </c>
    </row>
    <row r="562">
      <c r="A562" s="8" t="n"/>
      <c r="B562" s="9" t="n"/>
      <c r="C562" s="9" t="n"/>
      <c r="D562" s="9" t="n"/>
      <c r="E562" s="10" t="n"/>
      <c r="F562" s="8" t="n"/>
      <c r="G562" s="9">
        <f>IF(I562="Settled","",MAX(0,TODAY()-F562))</f>
        <v/>
      </c>
      <c r="H562" s="9">
        <f>IF(E562="","",TEXT(E562,"0.00")&amp;"|"&amp;IF(B562="Invoice","AR","AP"))</f>
        <v/>
      </c>
      <c r="I562" s="9">
        <f>IF(H562="","",IF(COUNTIF(Bank!$F:$F,H562)&gt;0,"Settled","Open"))</f>
        <v/>
      </c>
      <c r="J562" s="9">
        <f>IF(I562&lt;&gt;"Open","",IF(G562&lt;=0,"Current",IF(G562&lt;=30,"1-30",IF(G562&lt;=60,"31-60",IF(G562&lt;=90,"61-90","90+")))))</f>
        <v/>
      </c>
    </row>
    <row r="563">
      <c r="A563" s="8" t="n"/>
      <c r="B563" s="9" t="n"/>
      <c r="C563" s="9" t="n"/>
      <c r="D563" s="9" t="n"/>
      <c r="E563" s="10" t="n"/>
      <c r="F563" s="8" t="n"/>
      <c r="G563" s="9">
        <f>IF(I563="Settled","",MAX(0,TODAY()-F563))</f>
        <v/>
      </c>
      <c r="H563" s="9">
        <f>IF(E563="","",TEXT(E563,"0.00")&amp;"|"&amp;IF(B563="Invoice","AR","AP"))</f>
        <v/>
      </c>
      <c r="I563" s="9">
        <f>IF(H563="","",IF(COUNTIF(Bank!$F:$F,H563)&gt;0,"Settled","Open"))</f>
        <v/>
      </c>
      <c r="J563" s="9">
        <f>IF(I563&lt;&gt;"Open","",IF(G563&lt;=0,"Current",IF(G563&lt;=30,"1-30",IF(G563&lt;=60,"31-60",IF(G563&lt;=90,"61-90","90+")))))</f>
        <v/>
      </c>
    </row>
    <row r="564">
      <c r="A564" s="8" t="n"/>
      <c r="B564" s="9" t="n"/>
      <c r="C564" s="9" t="n"/>
      <c r="D564" s="9" t="n"/>
      <c r="E564" s="10" t="n"/>
      <c r="F564" s="8" t="n"/>
      <c r="G564" s="9">
        <f>IF(I564="Settled","",MAX(0,TODAY()-F564))</f>
        <v/>
      </c>
      <c r="H564" s="9">
        <f>IF(E564="","",TEXT(E564,"0.00")&amp;"|"&amp;IF(B564="Invoice","AR","AP"))</f>
        <v/>
      </c>
      <c r="I564" s="9">
        <f>IF(H564="","",IF(COUNTIF(Bank!$F:$F,H564)&gt;0,"Settled","Open"))</f>
        <v/>
      </c>
      <c r="J564" s="9">
        <f>IF(I564&lt;&gt;"Open","",IF(G564&lt;=0,"Current",IF(G564&lt;=30,"1-30",IF(G564&lt;=60,"31-60",IF(G564&lt;=90,"61-90","90+")))))</f>
        <v/>
      </c>
    </row>
    <row r="565">
      <c r="A565" s="8" t="n"/>
      <c r="B565" s="9" t="n"/>
      <c r="C565" s="9" t="n"/>
      <c r="D565" s="9" t="n"/>
      <c r="E565" s="10" t="n"/>
      <c r="F565" s="8" t="n"/>
      <c r="G565" s="9">
        <f>IF(I565="Settled","",MAX(0,TODAY()-F565))</f>
        <v/>
      </c>
      <c r="H565" s="9">
        <f>IF(E565="","",TEXT(E565,"0.00")&amp;"|"&amp;IF(B565="Invoice","AR","AP"))</f>
        <v/>
      </c>
      <c r="I565" s="9">
        <f>IF(H565="","",IF(COUNTIF(Bank!$F:$F,H565)&gt;0,"Settled","Open"))</f>
        <v/>
      </c>
      <c r="J565" s="9">
        <f>IF(I565&lt;&gt;"Open","",IF(G565&lt;=0,"Current",IF(G565&lt;=30,"1-30",IF(G565&lt;=60,"31-60",IF(G565&lt;=90,"61-90","90+")))))</f>
        <v/>
      </c>
    </row>
    <row r="566">
      <c r="A566" s="8" t="n"/>
      <c r="B566" s="9" t="n"/>
      <c r="C566" s="9" t="n"/>
      <c r="D566" s="9" t="n"/>
      <c r="E566" s="10" t="n"/>
      <c r="F566" s="8" t="n"/>
      <c r="G566" s="9">
        <f>IF(I566="Settled","",MAX(0,TODAY()-F566))</f>
        <v/>
      </c>
      <c r="H566" s="9">
        <f>IF(E566="","",TEXT(E566,"0.00")&amp;"|"&amp;IF(B566="Invoice","AR","AP"))</f>
        <v/>
      </c>
      <c r="I566" s="9">
        <f>IF(H566="","",IF(COUNTIF(Bank!$F:$F,H566)&gt;0,"Settled","Open"))</f>
        <v/>
      </c>
      <c r="J566" s="9">
        <f>IF(I566&lt;&gt;"Open","",IF(G566&lt;=0,"Current",IF(G566&lt;=30,"1-30",IF(G566&lt;=60,"31-60",IF(G566&lt;=90,"61-90","90+")))))</f>
        <v/>
      </c>
    </row>
    <row r="567">
      <c r="A567" s="8" t="n"/>
      <c r="B567" s="9" t="n"/>
      <c r="C567" s="9" t="n"/>
      <c r="D567" s="9" t="n"/>
      <c r="E567" s="10" t="n"/>
      <c r="F567" s="8" t="n"/>
      <c r="G567" s="9">
        <f>IF(I567="Settled","",MAX(0,TODAY()-F567))</f>
        <v/>
      </c>
      <c r="H567" s="9">
        <f>IF(E567="","",TEXT(E567,"0.00")&amp;"|"&amp;IF(B567="Invoice","AR","AP"))</f>
        <v/>
      </c>
      <c r="I567" s="9">
        <f>IF(H567="","",IF(COUNTIF(Bank!$F:$F,H567)&gt;0,"Settled","Open"))</f>
        <v/>
      </c>
      <c r="J567" s="9">
        <f>IF(I567&lt;&gt;"Open","",IF(G567&lt;=0,"Current",IF(G567&lt;=30,"1-30",IF(G567&lt;=60,"31-60",IF(G567&lt;=90,"61-90","90+")))))</f>
        <v/>
      </c>
    </row>
    <row r="568">
      <c r="A568" s="8" t="n"/>
      <c r="B568" s="9" t="n"/>
      <c r="C568" s="9" t="n"/>
      <c r="D568" s="9" t="n"/>
      <c r="E568" s="10" t="n"/>
      <c r="F568" s="8" t="n"/>
      <c r="G568" s="9">
        <f>IF(I568="Settled","",MAX(0,TODAY()-F568))</f>
        <v/>
      </c>
      <c r="H568" s="9">
        <f>IF(E568="","",TEXT(E568,"0.00")&amp;"|"&amp;IF(B568="Invoice","AR","AP"))</f>
        <v/>
      </c>
      <c r="I568" s="9">
        <f>IF(H568="","",IF(COUNTIF(Bank!$F:$F,H568)&gt;0,"Settled","Open"))</f>
        <v/>
      </c>
      <c r="J568" s="9">
        <f>IF(I568&lt;&gt;"Open","",IF(G568&lt;=0,"Current",IF(G568&lt;=30,"1-30",IF(G568&lt;=60,"31-60",IF(G568&lt;=90,"61-90","90+")))))</f>
        <v/>
      </c>
    </row>
    <row r="569">
      <c r="A569" s="8" t="n"/>
      <c r="B569" s="9" t="n"/>
      <c r="C569" s="9" t="n"/>
      <c r="D569" s="9" t="n"/>
      <c r="E569" s="10" t="n"/>
      <c r="F569" s="8" t="n"/>
      <c r="G569" s="9">
        <f>IF(I569="Settled","",MAX(0,TODAY()-F569))</f>
        <v/>
      </c>
      <c r="H569" s="9">
        <f>IF(E569="","",TEXT(E569,"0.00")&amp;"|"&amp;IF(B569="Invoice","AR","AP"))</f>
        <v/>
      </c>
      <c r="I569" s="9">
        <f>IF(H569="","",IF(COUNTIF(Bank!$F:$F,H569)&gt;0,"Settled","Open"))</f>
        <v/>
      </c>
      <c r="J569" s="9">
        <f>IF(I569&lt;&gt;"Open","",IF(G569&lt;=0,"Current",IF(G569&lt;=30,"1-30",IF(G569&lt;=60,"31-60",IF(G569&lt;=90,"61-90","90+")))))</f>
        <v/>
      </c>
    </row>
    <row r="570">
      <c r="A570" s="8" t="n"/>
      <c r="B570" s="9" t="n"/>
      <c r="C570" s="9" t="n"/>
      <c r="D570" s="9" t="n"/>
      <c r="E570" s="10" t="n"/>
      <c r="F570" s="8" t="n"/>
      <c r="G570" s="9">
        <f>IF(I570="Settled","",MAX(0,TODAY()-F570))</f>
        <v/>
      </c>
      <c r="H570" s="9">
        <f>IF(E570="","",TEXT(E570,"0.00")&amp;"|"&amp;IF(B570="Invoice","AR","AP"))</f>
        <v/>
      </c>
      <c r="I570" s="9">
        <f>IF(H570="","",IF(COUNTIF(Bank!$F:$F,H570)&gt;0,"Settled","Open"))</f>
        <v/>
      </c>
      <c r="J570" s="9">
        <f>IF(I570&lt;&gt;"Open","",IF(G570&lt;=0,"Current",IF(G570&lt;=30,"1-30",IF(G570&lt;=60,"31-60",IF(G570&lt;=90,"61-90","90+")))))</f>
        <v/>
      </c>
    </row>
    <row r="571">
      <c r="A571" s="8" t="n"/>
      <c r="B571" s="9" t="n"/>
      <c r="C571" s="9" t="n"/>
      <c r="D571" s="9" t="n"/>
      <c r="E571" s="10" t="n"/>
      <c r="F571" s="8" t="n"/>
      <c r="G571" s="9">
        <f>IF(I571="Settled","",MAX(0,TODAY()-F571))</f>
        <v/>
      </c>
      <c r="H571" s="9">
        <f>IF(E571="","",TEXT(E571,"0.00")&amp;"|"&amp;IF(B571="Invoice","AR","AP"))</f>
        <v/>
      </c>
      <c r="I571" s="9">
        <f>IF(H571="","",IF(COUNTIF(Bank!$F:$F,H571)&gt;0,"Settled","Open"))</f>
        <v/>
      </c>
      <c r="J571" s="9">
        <f>IF(I571&lt;&gt;"Open","",IF(G571&lt;=0,"Current",IF(G571&lt;=30,"1-30",IF(G571&lt;=60,"31-60",IF(G571&lt;=90,"61-90","90+")))))</f>
        <v/>
      </c>
    </row>
    <row r="572">
      <c r="A572" s="8" t="n"/>
      <c r="B572" s="9" t="n"/>
      <c r="C572" s="9" t="n"/>
      <c r="D572" s="9" t="n"/>
      <c r="E572" s="10" t="n"/>
      <c r="F572" s="8" t="n"/>
      <c r="G572" s="9">
        <f>IF(I572="Settled","",MAX(0,TODAY()-F572))</f>
        <v/>
      </c>
      <c r="H572" s="9">
        <f>IF(E572="","",TEXT(E572,"0.00")&amp;"|"&amp;IF(B572="Invoice","AR","AP"))</f>
        <v/>
      </c>
      <c r="I572" s="9">
        <f>IF(H572="","",IF(COUNTIF(Bank!$F:$F,H572)&gt;0,"Settled","Open"))</f>
        <v/>
      </c>
      <c r="J572" s="9">
        <f>IF(I572&lt;&gt;"Open","",IF(G572&lt;=0,"Current",IF(G572&lt;=30,"1-30",IF(G572&lt;=60,"31-60",IF(G572&lt;=90,"61-90","90+")))))</f>
        <v/>
      </c>
    </row>
    <row r="573">
      <c r="A573" s="8" t="n"/>
      <c r="B573" s="9" t="n"/>
      <c r="C573" s="9" t="n"/>
      <c r="D573" s="9" t="n"/>
      <c r="E573" s="10" t="n"/>
      <c r="F573" s="8" t="n"/>
      <c r="G573" s="9">
        <f>IF(I573="Settled","",MAX(0,TODAY()-F573))</f>
        <v/>
      </c>
      <c r="H573" s="9">
        <f>IF(E573="","",TEXT(E573,"0.00")&amp;"|"&amp;IF(B573="Invoice","AR","AP"))</f>
        <v/>
      </c>
      <c r="I573" s="9">
        <f>IF(H573="","",IF(COUNTIF(Bank!$F:$F,H573)&gt;0,"Settled","Open"))</f>
        <v/>
      </c>
      <c r="J573" s="9">
        <f>IF(I573&lt;&gt;"Open","",IF(G573&lt;=0,"Current",IF(G573&lt;=30,"1-30",IF(G573&lt;=60,"31-60",IF(G573&lt;=90,"61-90","90+")))))</f>
        <v/>
      </c>
    </row>
    <row r="574">
      <c r="A574" s="8" t="n"/>
      <c r="B574" s="9" t="n"/>
      <c r="C574" s="9" t="n"/>
      <c r="D574" s="9" t="n"/>
      <c r="E574" s="10" t="n"/>
      <c r="F574" s="8" t="n"/>
      <c r="G574" s="9">
        <f>IF(I574="Settled","",MAX(0,TODAY()-F574))</f>
        <v/>
      </c>
      <c r="H574" s="9">
        <f>IF(E574="","",TEXT(E574,"0.00")&amp;"|"&amp;IF(B574="Invoice","AR","AP"))</f>
        <v/>
      </c>
      <c r="I574" s="9">
        <f>IF(H574="","",IF(COUNTIF(Bank!$F:$F,H574)&gt;0,"Settled","Open"))</f>
        <v/>
      </c>
      <c r="J574" s="9">
        <f>IF(I574&lt;&gt;"Open","",IF(G574&lt;=0,"Current",IF(G574&lt;=30,"1-30",IF(G574&lt;=60,"31-60",IF(G574&lt;=90,"61-90","90+")))))</f>
        <v/>
      </c>
    </row>
    <row r="575">
      <c r="A575" s="8" t="n"/>
      <c r="B575" s="9" t="n"/>
      <c r="C575" s="9" t="n"/>
      <c r="D575" s="9" t="n"/>
      <c r="E575" s="10" t="n"/>
      <c r="F575" s="8" t="n"/>
      <c r="G575" s="9">
        <f>IF(I575="Settled","",MAX(0,TODAY()-F575))</f>
        <v/>
      </c>
      <c r="H575" s="9">
        <f>IF(E575="","",TEXT(E575,"0.00")&amp;"|"&amp;IF(B575="Invoice","AR","AP"))</f>
        <v/>
      </c>
      <c r="I575" s="9">
        <f>IF(H575="","",IF(COUNTIF(Bank!$F:$F,H575)&gt;0,"Settled","Open"))</f>
        <v/>
      </c>
      <c r="J575" s="9">
        <f>IF(I575&lt;&gt;"Open","",IF(G575&lt;=0,"Current",IF(G575&lt;=30,"1-30",IF(G575&lt;=60,"31-60",IF(G575&lt;=90,"61-90","90+")))))</f>
        <v/>
      </c>
    </row>
    <row r="576">
      <c r="A576" s="8" t="n"/>
      <c r="B576" s="9" t="n"/>
      <c r="C576" s="9" t="n"/>
      <c r="D576" s="9" t="n"/>
      <c r="E576" s="10" t="n"/>
      <c r="F576" s="8" t="n"/>
      <c r="G576" s="9">
        <f>IF(I576="Settled","",MAX(0,TODAY()-F576))</f>
        <v/>
      </c>
      <c r="H576" s="9">
        <f>IF(E576="","",TEXT(E576,"0.00")&amp;"|"&amp;IF(B576="Invoice","AR","AP"))</f>
        <v/>
      </c>
      <c r="I576" s="9">
        <f>IF(H576="","",IF(COUNTIF(Bank!$F:$F,H576)&gt;0,"Settled","Open"))</f>
        <v/>
      </c>
      <c r="J576" s="9">
        <f>IF(I576&lt;&gt;"Open","",IF(G576&lt;=0,"Current",IF(G576&lt;=30,"1-30",IF(G576&lt;=60,"31-60",IF(G576&lt;=90,"61-90","90+")))))</f>
        <v/>
      </c>
    </row>
    <row r="577">
      <c r="A577" s="8" t="n"/>
      <c r="B577" s="9" t="n"/>
      <c r="C577" s="9" t="n"/>
      <c r="D577" s="9" t="n"/>
      <c r="E577" s="10" t="n"/>
      <c r="F577" s="8" t="n"/>
      <c r="G577" s="9">
        <f>IF(I577="Settled","",MAX(0,TODAY()-F577))</f>
        <v/>
      </c>
      <c r="H577" s="9">
        <f>IF(E577="","",TEXT(E577,"0.00")&amp;"|"&amp;IF(B577="Invoice","AR","AP"))</f>
        <v/>
      </c>
      <c r="I577" s="9">
        <f>IF(H577="","",IF(COUNTIF(Bank!$F:$F,H577)&gt;0,"Settled","Open"))</f>
        <v/>
      </c>
      <c r="J577" s="9">
        <f>IF(I577&lt;&gt;"Open","",IF(G577&lt;=0,"Current",IF(G577&lt;=30,"1-30",IF(G577&lt;=60,"31-60",IF(G577&lt;=90,"61-90","90+")))))</f>
        <v/>
      </c>
    </row>
    <row r="578">
      <c r="A578" s="8" t="n"/>
      <c r="B578" s="9" t="n"/>
      <c r="C578" s="9" t="n"/>
      <c r="D578" s="9" t="n"/>
      <c r="E578" s="10" t="n"/>
      <c r="F578" s="8" t="n"/>
      <c r="G578" s="9">
        <f>IF(I578="Settled","",MAX(0,TODAY()-F578))</f>
        <v/>
      </c>
      <c r="H578" s="9">
        <f>IF(E578="","",TEXT(E578,"0.00")&amp;"|"&amp;IF(B578="Invoice","AR","AP"))</f>
        <v/>
      </c>
      <c r="I578" s="9">
        <f>IF(H578="","",IF(COUNTIF(Bank!$F:$F,H578)&gt;0,"Settled","Open"))</f>
        <v/>
      </c>
      <c r="J578" s="9">
        <f>IF(I578&lt;&gt;"Open","",IF(G578&lt;=0,"Current",IF(G578&lt;=30,"1-30",IF(G578&lt;=60,"31-60",IF(G578&lt;=90,"61-90","90+")))))</f>
        <v/>
      </c>
    </row>
    <row r="579">
      <c r="A579" s="8" t="n"/>
      <c r="B579" s="9" t="n"/>
      <c r="C579" s="9" t="n"/>
      <c r="D579" s="9" t="n"/>
      <c r="E579" s="10" t="n"/>
      <c r="F579" s="8" t="n"/>
      <c r="G579" s="9">
        <f>IF(I579="Settled","",MAX(0,TODAY()-F579))</f>
        <v/>
      </c>
      <c r="H579" s="9">
        <f>IF(E579="","",TEXT(E579,"0.00")&amp;"|"&amp;IF(B579="Invoice","AR","AP"))</f>
        <v/>
      </c>
      <c r="I579" s="9">
        <f>IF(H579="","",IF(COUNTIF(Bank!$F:$F,H579)&gt;0,"Settled","Open"))</f>
        <v/>
      </c>
      <c r="J579" s="9">
        <f>IF(I579&lt;&gt;"Open","",IF(G579&lt;=0,"Current",IF(G579&lt;=30,"1-30",IF(G579&lt;=60,"31-60",IF(G579&lt;=90,"61-90","90+")))))</f>
        <v/>
      </c>
    </row>
    <row r="580">
      <c r="A580" s="8" t="n"/>
      <c r="B580" s="9" t="n"/>
      <c r="C580" s="9" t="n"/>
      <c r="D580" s="9" t="n"/>
      <c r="E580" s="10" t="n"/>
      <c r="F580" s="8" t="n"/>
      <c r="G580" s="9">
        <f>IF(I580="Settled","",MAX(0,TODAY()-F580))</f>
        <v/>
      </c>
      <c r="H580" s="9">
        <f>IF(E580="","",TEXT(E580,"0.00")&amp;"|"&amp;IF(B580="Invoice","AR","AP"))</f>
        <v/>
      </c>
      <c r="I580" s="9">
        <f>IF(H580="","",IF(COUNTIF(Bank!$F:$F,H580)&gt;0,"Settled","Open"))</f>
        <v/>
      </c>
      <c r="J580" s="9">
        <f>IF(I580&lt;&gt;"Open","",IF(G580&lt;=0,"Current",IF(G580&lt;=30,"1-30",IF(G580&lt;=60,"31-60",IF(G580&lt;=90,"61-90","90+")))))</f>
        <v/>
      </c>
    </row>
    <row r="581">
      <c r="A581" s="8" t="n"/>
      <c r="B581" s="9" t="n"/>
      <c r="C581" s="9" t="n"/>
      <c r="D581" s="9" t="n"/>
      <c r="E581" s="10" t="n"/>
      <c r="F581" s="8" t="n"/>
      <c r="G581" s="9">
        <f>IF(I581="Settled","",MAX(0,TODAY()-F581))</f>
        <v/>
      </c>
      <c r="H581" s="9">
        <f>IF(E581="","",TEXT(E581,"0.00")&amp;"|"&amp;IF(B581="Invoice","AR","AP"))</f>
        <v/>
      </c>
      <c r="I581" s="9">
        <f>IF(H581="","",IF(COUNTIF(Bank!$F:$F,H581)&gt;0,"Settled","Open"))</f>
        <v/>
      </c>
      <c r="J581" s="9">
        <f>IF(I581&lt;&gt;"Open","",IF(G581&lt;=0,"Current",IF(G581&lt;=30,"1-30",IF(G581&lt;=60,"31-60",IF(G581&lt;=90,"61-90","90+")))))</f>
        <v/>
      </c>
    </row>
    <row r="582">
      <c r="A582" s="8" t="n"/>
      <c r="B582" s="9" t="n"/>
      <c r="C582" s="9" t="n"/>
      <c r="D582" s="9" t="n"/>
      <c r="E582" s="10" t="n"/>
      <c r="F582" s="8" t="n"/>
      <c r="G582" s="9">
        <f>IF(I582="Settled","",MAX(0,TODAY()-F582))</f>
        <v/>
      </c>
      <c r="H582" s="9">
        <f>IF(E582="","",TEXT(E582,"0.00")&amp;"|"&amp;IF(B582="Invoice","AR","AP"))</f>
        <v/>
      </c>
      <c r="I582" s="9">
        <f>IF(H582="","",IF(COUNTIF(Bank!$F:$F,H582)&gt;0,"Settled","Open"))</f>
        <v/>
      </c>
      <c r="J582" s="9">
        <f>IF(I582&lt;&gt;"Open","",IF(G582&lt;=0,"Current",IF(G582&lt;=30,"1-30",IF(G582&lt;=60,"31-60",IF(G582&lt;=90,"61-90","90+")))))</f>
        <v/>
      </c>
    </row>
    <row r="583">
      <c r="A583" s="8" t="n"/>
      <c r="B583" s="9" t="n"/>
      <c r="C583" s="9" t="n"/>
      <c r="D583" s="9" t="n"/>
      <c r="E583" s="10" t="n"/>
      <c r="F583" s="8" t="n"/>
      <c r="G583" s="9">
        <f>IF(I583="Settled","",MAX(0,TODAY()-F583))</f>
        <v/>
      </c>
      <c r="H583" s="9">
        <f>IF(E583="","",TEXT(E583,"0.00")&amp;"|"&amp;IF(B583="Invoice","AR","AP"))</f>
        <v/>
      </c>
      <c r="I583" s="9">
        <f>IF(H583="","",IF(COUNTIF(Bank!$F:$F,H583)&gt;0,"Settled","Open"))</f>
        <v/>
      </c>
      <c r="J583" s="9">
        <f>IF(I583&lt;&gt;"Open","",IF(G583&lt;=0,"Current",IF(G583&lt;=30,"1-30",IF(G583&lt;=60,"31-60",IF(G583&lt;=90,"61-90","90+")))))</f>
        <v/>
      </c>
    </row>
    <row r="584">
      <c r="A584" s="8" t="n"/>
      <c r="B584" s="9" t="n"/>
      <c r="C584" s="9" t="n"/>
      <c r="D584" s="9" t="n"/>
      <c r="E584" s="10" t="n"/>
      <c r="F584" s="8" t="n"/>
      <c r="G584" s="9">
        <f>IF(I584="Settled","",MAX(0,TODAY()-F584))</f>
        <v/>
      </c>
      <c r="H584" s="9">
        <f>IF(E584="","",TEXT(E584,"0.00")&amp;"|"&amp;IF(B584="Invoice","AR","AP"))</f>
        <v/>
      </c>
      <c r="I584" s="9">
        <f>IF(H584="","",IF(COUNTIF(Bank!$F:$F,H584)&gt;0,"Settled","Open"))</f>
        <v/>
      </c>
      <c r="J584" s="9">
        <f>IF(I584&lt;&gt;"Open","",IF(G584&lt;=0,"Current",IF(G584&lt;=30,"1-30",IF(G584&lt;=60,"31-60",IF(G584&lt;=90,"61-90","90+")))))</f>
        <v/>
      </c>
    </row>
    <row r="585">
      <c r="A585" s="8" t="n"/>
      <c r="B585" s="9" t="n"/>
      <c r="C585" s="9" t="n"/>
      <c r="D585" s="9" t="n"/>
      <c r="E585" s="10" t="n"/>
      <c r="F585" s="8" t="n"/>
      <c r="G585" s="9">
        <f>IF(I585="Settled","",MAX(0,TODAY()-F585))</f>
        <v/>
      </c>
      <c r="H585" s="9">
        <f>IF(E585="","",TEXT(E585,"0.00")&amp;"|"&amp;IF(B585="Invoice","AR","AP"))</f>
        <v/>
      </c>
      <c r="I585" s="9">
        <f>IF(H585="","",IF(COUNTIF(Bank!$F:$F,H585)&gt;0,"Settled","Open"))</f>
        <v/>
      </c>
      <c r="J585" s="9">
        <f>IF(I585&lt;&gt;"Open","",IF(G585&lt;=0,"Current",IF(G585&lt;=30,"1-30",IF(G585&lt;=60,"31-60",IF(G585&lt;=90,"61-90","90+")))))</f>
        <v/>
      </c>
    </row>
    <row r="586">
      <c r="A586" s="8" t="n"/>
      <c r="B586" s="9" t="n"/>
      <c r="C586" s="9" t="n"/>
      <c r="D586" s="9" t="n"/>
      <c r="E586" s="10" t="n"/>
      <c r="F586" s="8" t="n"/>
      <c r="G586" s="9">
        <f>IF(I586="Settled","",MAX(0,TODAY()-F586))</f>
        <v/>
      </c>
      <c r="H586" s="9">
        <f>IF(E586="","",TEXT(E586,"0.00")&amp;"|"&amp;IF(B586="Invoice","AR","AP"))</f>
        <v/>
      </c>
      <c r="I586" s="9">
        <f>IF(H586="","",IF(COUNTIF(Bank!$F:$F,H586)&gt;0,"Settled","Open"))</f>
        <v/>
      </c>
      <c r="J586" s="9">
        <f>IF(I586&lt;&gt;"Open","",IF(G586&lt;=0,"Current",IF(G586&lt;=30,"1-30",IF(G586&lt;=60,"31-60",IF(G586&lt;=90,"61-90","90+")))))</f>
        <v/>
      </c>
    </row>
    <row r="587">
      <c r="A587" s="8" t="n"/>
      <c r="B587" s="9" t="n"/>
      <c r="C587" s="9" t="n"/>
      <c r="D587" s="9" t="n"/>
      <c r="E587" s="10" t="n"/>
      <c r="F587" s="8" t="n"/>
      <c r="G587" s="9">
        <f>IF(I587="Settled","",MAX(0,TODAY()-F587))</f>
        <v/>
      </c>
      <c r="H587" s="9">
        <f>IF(E587="","",TEXT(E587,"0.00")&amp;"|"&amp;IF(B587="Invoice","AR","AP"))</f>
        <v/>
      </c>
      <c r="I587" s="9">
        <f>IF(H587="","",IF(COUNTIF(Bank!$F:$F,H587)&gt;0,"Settled","Open"))</f>
        <v/>
      </c>
      <c r="J587" s="9">
        <f>IF(I587&lt;&gt;"Open","",IF(G587&lt;=0,"Current",IF(G587&lt;=30,"1-30",IF(G587&lt;=60,"31-60",IF(G587&lt;=90,"61-90","90+")))))</f>
        <v/>
      </c>
    </row>
    <row r="588">
      <c r="A588" s="8" t="n"/>
      <c r="B588" s="9" t="n"/>
      <c r="C588" s="9" t="n"/>
      <c r="D588" s="9" t="n"/>
      <c r="E588" s="10" t="n"/>
      <c r="F588" s="8" t="n"/>
      <c r="G588" s="9">
        <f>IF(I588="Settled","",MAX(0,TODAY()-F588))</f>
        <v/>
      </c>
      <c r="H588" s="9">
        <f>IF(E588="","",TEXT(E588,"0.00")&amp;"|"&amp;IF(B588="Invoice","AR","AP"))</f>
        <v/>
      </c>
      <c r="I588" s="9">
        <f>IF(H588="","",IF(COUNTIF(Bank!$F:$F,H588)&gt;0,"Settled","Open"))</f>
        <v/>
      </c>
      <c r="J588" s="9">
        <f>IF(I588&lt;&gt;"Open","",IF(G588&lt;=0,"Current",IF(G588&lt;=30,"1-30",IF(G588&lt;=60,"31-60",IF(G588&lt;=90,"61-90","90+")))))</f>
        <v/>
      </c>
    </row>
    <row r="589">
      <c r="A589" s="8" t="n"/>
      <c r="B589" s="9" t="n"/>
      <c r="C589" s="9" t="n"/>
      <c r="D589" s="9" t="n"/>
      <c r="E589" s="10" t="n"/>
      <c r="F589" s="8" t="n"/>
      <c r="G589" s="9">
        <f>IF(I589="Settled","",MAX(0,TODAY()-F589))</f>
        <v/>
      </c>
      <c r="H589" s="9">
        <f>IF(E589="","",TEXT(E589,"0.00")&amp;"|"&amp;IF(B589="Invoice","AR","AP"))</f>
        <v/>
      </c>
      <c r="I589" s="9">
        <f>IF(H589="","",IF(COUNTIF(Bank!$F:$F,H589)&gt;0,"Settled","Open"))</f>
        <v/>
      </c>
      <c r="J589" s="9">
        <f>IF(I589&lt;&gt;"Open","",IF(G589&lt;=0,"Current",IF(G589&lt;=30,"1-30",IF(G589&lt;=60,"31-60",IF(G589&lt;=90,"61-90","90+")))))</f>
        <v/>
      </c>
    </row>
    <row r="590">
      <c r="A590" s="8" t="n"/>
      <c r="B590" s="9" t="n"/>
      <c r="C590" s="9" t="n"/>
      <c r="D590" s="9" t="n"/>
      <c r="E590" s="10" t="n"/>
      <c r="F590" s="8" t="n"/>
      <c r="G590" s="9">
        <f>IF(I590="Settled","",MAX(0,TODAY()-F590))</f>
        <v/>
      </c>
      <c r="H590" s="9">
        <f>IF(E590="","",TEXT(E590,"0.00")&amp;"|"&amp;IF(B590="Invoice","AR","AP"))</f>
        <v/>
      </c>
      <c r="I590" s="9">
        <f>IF(H590="","",IF(COUNTIF(Bank!$F:$F,H590)&gt;0,"Settled","Open"))</f>
        <v/>
      </c>
      <c r="J590" s="9">
        <f>IF(I590&lt;&gt;"Open","",IF(G590&lt;=0,"Current",IF(G590&lt;=30,"1-30",IF(G590&lt;=60,"31-60",IF(G590&lt;=90,"61-90","90+")))))</f>
        <v/>
      </c>
    </row>
    <row r="591">
      <c r="A591" s="8" t="n"/>
      <c r="B591" s="9" t="n"/>
      <c r="C591" s="9" t="n"/>
      <c r="D591" s="9" t="n"/>
      <c r="E591" s="10" t="n"/>
      <c r="F591" s="8" t="n"/>
      <c r="G591" s="9">
        <f>IF(I591="Settled","",MAX(0,TODAY()-F591))</f>
        <v/>
      </c>
      <c r="H591" s="9">
        <f>IF(E591="","",TEXT(E591,"0.00")&amp;"|"&amp;IF(B591="Invoice","AR","AP"))</f>
        <v/>
      </c>
      <c r="I591" s="9">
        <f>IF(H591="","",IF(COUNTIF(Bank!$F:$F,H591)&gt;0,"Settled","Open"))</f>
        <v/>
      </c>
      <c r="J591" s="9">
        <f>IF(I591&lt;&gt;"Open","",IF(G591&lt;=0,"Current",IF(G591&lt;=30,"1-30",IF(G591&lt;=60,"31-60",IF(G591&lt;=90,"61-90","90+")))))</f>
        <v/>
      </c>
    </row>
    <row r="592">
      <c r="A592" s="8" t="n"/>
      <c r="B592" s="9" t="n"/>
      <c r="C592" s="9" t="n"/>
      <c r="D592" s="9" t="n"/>
      <c r="E592" s="10" t="n"/>
      <c r="F592" s="8" t="n"/>
      <c r="G592" s="9">
        <f>IF(I592="Settled","",MAX(0,TODAY()-F592))</f>
        <v/>
      </c>
      <c r="H592" s="9">
        <f>IF(E592="","",TEXT(E592,"0.00")&amp;"|"&amp;IF(B592="Invoice","AR","AP"))</f>
        <v/>
      </c>
      <c r="I592" s="9">
        <f>IF(H592="","",IF(COUNTIF(Bank!$F:$F,H592)&gt;0,"Settled","Open"))</f>
        <v/>
      </c>
      <c r="J592" s="9">
        <f>IF(I592&lt;&gt;"Open","",IF(G592&lt;=0,"Current",IF(G592&lt;=30,"1-30",IF(G592&lt;=60,"31-60",IF(G592&lt;=90,"61-90","90+")))))</f>
        <v/>
      </c>
    </row>
    <row r="593">
      <c r="A593" s="8" t="n"/>
      <c r="B593" s="9" t="n"/>
      <c r="C593" s="9" t="n"/>
      <c r="D593" s="9" t="n"/>
      <c r="E593" s="10" t="n"/>
      <c r="F593" s="8" t="n"/>
      <c r="G593" s="9">
        <f>IF(I593="Settled","",MAX(0,TODAY()-F593))</f>
        <v/>
      </c>
      <c r="H593" s="9">
        <f>IF(E593="","",TEXT(E593,"0.00")&amp;"|"&amp;IF(B593="Invoice","AR","AP"))</f>
        <v/>
      </c>
      <c r="I593" s="9">
        <f>IF(H593="","",IF(COUNTIF(Bank!$F:$F,H593)&gt;0,"Settled","Open"))</f>
        <v/>
      </c>
      <c r="J593" s="9">
        <f>IF(I593&lt;&gt;"Open","",IF(G593&lt;=0,"Current",IF(G593&lt;=30,"1-30",IF(G593&lt;=60,"31-60",IF(G593&lt;=90,"61-90","90+")))))</f>
        <v/>
      </c>
    </row>
    <row r="594">
      <c r="A594" s="8" t="n"/>
      <c r="B594" s="9" t="n"/>
      <c r="C594" s="9" t="n"/>
      <c r="D594" s="9" t="n"/>
      <c r="E594" s="10" t="n"/>
      <c r="F594" s="8" t="n"/>
      <c r="G594" s="9">
        <f>IF(I594="Settled","",MAX(0,TODAY()-F594))</f>
        <v/>
      </c>
      <c r="H594" s="9">
        <f>IF(E594="","",TEXT(E594,"0.00")&amp;"|"&amp;IF(B594="Invoice","AR","AP"))</f>
        <v/>
      </c>
      <c r="I594" s="9">
        <f>IF(H594="","",IF(COUNTIF(Bank!$F:$F,H594)&gt;0,"Settled","Open"))</f>
        <v/>
      </c>
      <c r="J594" s="9">
        <f>IF(I594&lt;&gt;"Open","",IF(G594&lt;=0,"Current",IF(G594&lt;=30,"1-30",IF(G594&lt;=60,"31-60",IF(G594&lt;=90,"61-90","90+")))))</f>
        <v/>
      </c>
    </row>
    <row r="595">
      <c r="A595" s="8" t="n"/>
      <c r="B595" s="9" t="n"/>
      <c r="C595" s="9" t="n"/>
      <c r="D595" s="9" t="n"/>
      <c r="E595" s="10" t="n"/>
      <c r="F595" s="8" t="n"/>
      <c r="G595" s="9">
        <f>IF(I595="Settled","",MAX(0,TODAY()-F595))</f>
        <v/>
      </c>
      <c r="H595" s="9">
        <f>IF(E595="","",TEXT(E595,"0.00")&amp;"|"&amp;IF(B595="Invoice","AR","AP"))</f>
        <v/>
      </c>
      <c r="I595" s="9">
        <f>IF(H595="","",IF(COUNTIF(Bank!$F:$F,H595)&gt;0,"Settled","Open"))</f>
        <v/>
      </c>
      <c r="J595" s="9">
        <f>IF(I595&lt;&gt;"Open","",IF(G595&lt;=0,"Current",IF(G595&lt;=30,"1-30",IF(G595&lt;=60,"31-60",IF(G595&lt;=90,"61-90","90+")))))</f>
        <v/>
      </c>
    </row>
    <row r="596">
      <c r="A596" s="8" t="n"/>
      <c r="B596" s="9" t="n"/>
      <c r="C596" s="9" t="n"/>
      <c r="D596" s="9" t="n"/>
      <c r="E596" s="10" t="n"/>
      <c r="F596" s="8" t="n"/>
      <c r="G596" s="9">
        <f>IF(I596="Settled","",MAX(0,TODAY()-F596))</f>
        <v/>
      </c>
      <c r="H596" s="9">
        <f>IF(E596="","",TEXT(E596,"0.00")&amp;"|"&amp;IF(B596="Invoice","AR","AP"))</f>
        <v/>
      </c>
      <c r="I596" s="9">
        <f>IF(H596="","",IF(COUNTIF(Bank!$F:$F,H596)&gt;0,"Settled","Open"))</f>
        <v/>
      </c>
      <c r="J596" s="9">
        <f>IF(I596&lt;&gt;"Open","",IF(G596&lt;=0,"Current",IF(G596&lt;=30,"1-30",IF(G596&lt;=60,"31-60",IF(G596&lt;=90,"61-90","90+")))))</f>
        <v/>
      </c>
    </row>
    <row r="597">
      <c r="A597" s="8" t="n"/>
      <c r="B597" s="9" t="n"/>
      <c r="C597" s="9" t="n"/>
      <c r="D597" s="9" t="n"/>
      <c r="E597" s="10" t="n"/>
      <c r="F597" s="8" t="n"/>
      <c r="G597" s="9">
        <f>IF(I597="Settled","",MAX(0,TODAY()-F597))</f>
        <v/>
      </c>
      <c r="H597" s="9">
        <f>IF(E597="","",TEXT(E597,"0.00")&amp;"|"&amp;IF(B597="Invoice","AR","AP"))</f>
        <v/>
      </c>
      <c r="I597" s="9">
        <f>IF(H597="","",IF(COUNTIF(Bank!$F:$F,H597)&gt;0,"Settled","Open"))</f>
        <v/>
      </c>
      <c r="J597" s="9">
        <f>IF(I597&lt;&gt;"Open","",IF(G597&lt;=0,"Current",IF(G597&lt;=30,"1-30",IF(G597&lt;=60,"31-60",IF(G597&lt;=90,"61-90","90+")))))</f>
        <v/>
      </c>
    </row>
    <row r="598">
      <c r="A598" s="8" t="n"/>
      <c r="B598" s="9" t="n"/>
      <c r="C598" s="9" t="n"/>
      <c r="D598" s="9" t="n"/>
      <c r="E598" s="10" t="n"/>
      <c r="F598" s="8" t="n"/>
      <c r="G598" s="9">
        <f>IF(I598="Settled","",MAX(0,TODAY()-F598))</f>
        <v/>
      </c>
      <c r="H598" s="9">
        <f>IF(E598="","",TEXT(E598,"0.00")&amp;"|"&amp;IF(B598="Invoice","AR","AP"))</f>
        <v/>
      </c>
      <c r="I598" s="9">
        <f>IF(H598="","",IF(COUNTIF(Bank!$F:$F,H598)&gt;0,"Settled","Open"))</f>
        <v/>
      </c>
      <c r="J598" s="9">
        <f>IF(I598&lt;&gt;"Open","",IF(G598&lt;=0,"Current",IF(G598&lt;=30,"1-30",IF(G598&lt;=60,"31-60",IF(G598&lt;=90,"61-90","90+")))))</f>
        <v/>
      </c>
    </row>
    <row r="599">
      <c r="A599" s="8" t="n"/>
      <c r="B599" s="9" t="n"/>
      <c r="C599" s="9" t="n"/>
      <c r="D599" s="9" t="n"/>
      <c r="E599" s="10" t="n"/>
      <c r="F599" s="8" t="n"/>
      <c r="G599" s="9">
        <f>IF(I599="Settled","",MAX(0,TODAY()-F599))</f>
        <v/>
      </c>
      <c r="H599" s="9">
        <f>IF(E599="","",TEXT(E599,"0.00")&amp;"|"&amp;IF(B599="Invoice","AR","AP"))</f>
        <v/>
      </c>
      <c r="I599" s="9">
        <f>IF(H599="","",IF(COUNTIF(Bank!$F:$F,H599)&gt;0,"Settled","Open"))</f>
        <v/>
      </c>
      <c r="J599" s="9">
        <f>IF(I599&lt;&gt;"Open","",IF(G599&lt;=0,"Current",IF(G599&lt;=30,"1-30",IF(G599&lt;=60,"31-60",IF(G599&lt;=90,"61-90","90+")))))</f>
        <v/>
      </c>
    </row>
    <row r="600">
      <c r="A600" s="8" t="n"/>
      <c r="B600" s="9" t="n"/>
      <c r="C600" s="9" t="n"/>
      <c r="D600" s="9" t="n"/>
      <c r="E600" s="10" t="n"/>
      <c r="F600" s="8" t="n"/>
      <c r="G600" s="9">
        <f>IF(I600="Settled","",MAX(0,TODAY()-F600))</f>
        <v/>
      </c>
      <c r="H600" s="9">
        <f>IF(E600="","",TEXT(E600,"0.00")&amp;"|"&amp;IF(B600="Invoice","AR","AP"))</f>
        <v/>
      </c>
      <c r="I600" s="9">
        <f>IF(H600="","",IF(COUNTIF(Bank!$F:$F,H600)&gt;0,"Settled","Open"))</f>
        <v/>
      </c>
      <c r="J600" s="9">
        <f>IF(I600&lt;&gt;"Open","",IF(G600&lt;=0,"Current",IF(G600&lt;=30,"1-30",IF(G600&lt;=60,"31-60",IF(G600&lt;=90,"61-90","90+")))))</f>
        <v/>
      </c>
    </row>
    <row r="601">
      <c r="A601" s="8" t="n"/>
      <c r="B601" s="9" t="n"/>
      <c r="C601" s="9" t="n"/>
      <c r="D601" s="9" t="n"/>
      <c r="E601" s="10" t="n"/>
      <c r="F601" s="8" t="n"/>
      <c r="G601" s="9">
        <f>IF(I601="Settled","",MAX(0,TODAY()-F601))</f>
        <v/>
      </c>
      <c r="H601" s="9">
        <f>IF(E601="","",TEXT(E601,"0.00")&amp;"|"&amp;IF(B601="Invoice","AR","AP"))</f>
        <v/>
      </c>
      <c r="I601" s="9">
        <f>IF(H601="","",IF(COUNTIF(Bank!$F:$F,H601)&gt;0,"Settled","Open"))</f>
        <v/>
      </c>
      <c r="J601" s="9">
        <f>IF(I601&lt;&gt;"Open","",IF(G601&lt;=0,"Current",IF(G601&lt;=30,"1-30",IF(G601&lt;=60,"31-60",IF(G601&lt;=90,"61-90","90+")))))</f>
        <v/>
      </c>
    </row>
    <row r="602">
      <c r="A602" s="8" t="n"/>
      <c r="B602" s="9" t="n"/>
      <c r="C602" s="9" t="n"/>
      <c r="D602" s="9" t="n"/>
      <c r="E602" s="10" t="n"/>
      <c r="F602" s="8" t="n"/>
      <c r="G602" s="9">
        <f>IF(I602="Settled","",MAX(0,TODAY()-F602))</f>
        <v/>
      </c>
      <c r="H602" s="9">
        <f>IF(E602="","",TEXT(E602,"0.00")&amp;"|"&amp;IF(B602="Invoice","AR","AP"))</f>
        <v/>
      </c>
      <c r="I602" s="9">
        <f>IF(H602="","",IF(COUNTIF(Bank!$F:$F,H602)&gt;0,"Settled","Open"))</f>
        <v/>
      </c>
      <c r="J602" s="9">
        <f>IF(I602&lt;&gt;"Open","",IF(G602&lt;=0,"Current",IF(G602&lt;=30,"1-30",IF(G602&lt;=60,"31-60",IF(G602&lt;=90,"61-90","90+")))))</f>
        <v/>
      </c>
    </row>
    <row r="603">
      <c r="A603" s="8" t="n"/>
      <c r="B603" s="9" t="n"/>
      <c r="C603" s="9" t="n"/>
      <c r="D603" s="9" t="n"/>
      <c r="E603" s="10" t="n"/>
      <c r="F603" s="8" t="n"/>
      <c r="G603" s="9">
        <f>IF(I603="Settled","",MAX(0,TODAY()-F603))</f>
        <v/>
      </c>
      <c r="H603" s="9">
        <f>IF(E603="","",TEXT(E603,"0.00")&amp;"|"&amp;IF(B603="Invoice","AR","AP"))</f>
        <v/>
      </c>
      <c r="I603" s="9">
        <f>IF(H603="","",IF(COUNTIF(Bank!$F:$F,H603)&gt;0,"Settled","Open"))</f>
        <v/>
      </c>
      <c r="J603" s="9">
        <f>IF(I603&lt;&gt;"Open","",IF(G603&lt;=0,"Current",IF(G603&lt;=30,"1-30",IF(G603&lt;=60,"31-60",IF(G603&lt;=90,"61-90","90+")))))</f>
        <v/>
      </c>
    </row>
    <row r="604">
      <c r="A604" s="8" t="n"/>
      <c r="B604" s="9" t="n"/>
      <c r="C604" s="9" t="n"/>
      <c r="D604" s="9" t="n"/>
      <c r="E604" s="10" t="n"/>
      <c r="F604" s="8" t="n"/>
      <c r="G604" s="9">
        <f>IF(I604="Settled","",MAX(0,TODAY()-F604))</f>
        <v/>
      </c>
      <c r="H604" s="9">
        <f>IF(E604="","",TEXT(E604,"0.00")&amp;"|"&amp;IF(B604="Invoice","AR","AP"))</f>
        <v/>
      </c>
      <c r="I604" s="9">
        <f>IF(H604="","",IF(COUNTIF(Bank!$F:$F,H604)&gt;0,"Settled","Open"))</f>
        <v/>
      </c>
      <c r="J604" s="9">
        <f>IF(I604&lt;&gt;"Open","",IF(G604&lt;=0,"Current",IF(G604&lt;=30,"1-30",IF(G604&lt;=60,"31-60",IF(G604&lt;=90,"61-90","90+")))))</f>
        <v/>
      </c>
    </row>
  </sheetData>
  <autoFilter ref="A4:J604"/>
  <conditionalFormatting sqref="G5:G604">
    <cfRule type="cellIs" priority="1" operator="greaterThan" dxfId="0">
      <formula>30</formula>
    </cfRule>
  </conditionalFormatting>
  <conditionalFormatting sqref="I5:I604">
    <cfRule type="expression" priority="2" dxfId="2">
      <formula>$I5="Settled"</formula>
    </cfRule>
  </conditionalFormatting>
  <dataValidations count="1">
    <dataValidation sqref="B5:B804" showDropDown="0" showInputMessage="0" showErrorMessage="0" allowBlank="1" error="Type must be Invoice (money owed to you) or Bill (money you owe)." type="list">
      <formula1>"Invoice,Bill"</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9"/>
  <sheetViews>
    <sheetView showGridLines="0" workbookViewId="0">
      <selection activeCell="A1" sqref="A1"/>
    </sheetView>
  </sheetViews>
  <sheetFormatPr baseColWidth="8" defaultRowHeight="15"/>
  <cols>
    <col width="46" customWidth="1" min="1" max="1"/>
    <col width="10" customWidth="1" min="2" max="2"/>
    <col width="74" customWidth="1" min="3" max="3"/>
  </cols>
  <sheetData>
    <row r="1">
      <c r="A1" s="1" t="inlineStr">
        <is>
          <t>Exceptions - the only sheet that needs your attention</t>
        </is>
      </c>
    </row>
    <row r="2">
      <c r="A2" s="2" t="inlineStr">
        <is>
          <t>Checked from both directions. A bill entered twice and paid once is invisible if you only check the bank side.</t>
        </is>
      </c>
    </row>
    <row r="4" ht="26" customHeight="1">
      <c r="A4" s="7" t="inlineStr">
        <is>
          <t>Check</t>
        </is>
      </c>
      <c r="B4" s="7" t="inlineStr">
        <is>
          <t>Count</t>
        </is>
      </c>
      <c r="C4" s="7" t="inlineStr">
        <is>
          <t>What it means and what to do</t>
        </is>
      </c>
    </row>
    <row r="5" ht="42" customHeight="1">
      <c r="A5" s="11" t="inlineStr">
        <is>
          <t>Bank lines with no matching ledger entry</t>
        </is>
      </c>
      <c r="B5" s="12">
        <f>COUNTIF(Bank!$H:$H,"UNMATCHED*")</f>
        <v/>
      </c>
      <c r="C5" s="13" t="inlineStr">
        <is>
          <t>Money moved that the books do not explain. Usually a fee, a transfer between own accounts, or a bill nobody entered.</t>
        </is>
      </c>
    </row>
    <row r="6" ht="42" customHeight="1">
      <c r="A6" s="11" t="inlineStr">
        <is>
          <t>Bank lines needing review for ambiguity</t>
        </is>
      </c>
      <c r="B6" s="12">
        <f>COUNTIF(Bank!$H:$H,"REVIEW*")</f>
        <v/>
      </c>
      <c r="C6" s="13" t="inlineStr">
        <is>
          <t>Either the same amount appears twice on the statement - a possible double payment - or it matches several ledger entries. Matching on amount cannot tell these apart, so confirm by reference before ticking any of them off.</t>
        </is>
      </c>
    </row>
    <row r="7" ht="42" customHeight="1">
      <c r="A7" s="11" t="inlineStr">
        <is>
          <t>Ledger entries still open past their due date</t>
        </is>
      </c>
      <c r="B7" s="12">
        <f>COUNTIFS(Ledger!$I:$I,"Open",Ledger!$G:$G,"&gt;0")</f>
        <v/>
      </c>
      <c r="C7" s="13" t="inlineStr">
        <is>
          <t>Overdue both ways: invoices to chase and bills you are late paying.</t>
        </is>
      </c>
    </row>
    <row r="8" ht="42" customHeight="1">
      <c r="A8" s="11" t="inlineStr">
        <is>
          <t>Invoices unpaid more than 60 days</t>
        </is>
      </c>
      <c r="B8" s="12">
        <f>COUNTIFS(Ledger!$I:$I,"Open",Ledger!$B:$B,"Invoice",Ledger!$G:$G,"&gt;60")</f>
        <v/>
      </c>
      <c r="C8" s="13" t="inlineStr">
        <is>
          <t>The number that turns into a write-off if nobody looks at it.</t>
        </is>
      </c>
    </row>
    <row r="9" ht="42" customHeight="1">
      <c r="A9" s="11" t="inlineStr">
        <is>
          <t>Duplicate references in the ledger</t>
        </is>
      </c>
      <c r="B9" s="12">
        <f>SUMPRODUCT((Ledger!$D$5:$D$500&lt;&gt;"")*(COUNTIF(Ledger!$D$5:$D$500,Ledger!$D$5:$D$500)&gt;1))/2</f>
        <v/>
      </c>
      <c r="C9" s="13" t="inlineStr">
        <is>
          <t>The same invoice or bill entered twice. Halved because each duplicate pair is counted from both ends.</t>
        </is>
      </c>
    </row>
  </sheetData>
  <conditionalFormatting sqref="B5:B9">
    <cfRule type="cellIs" priority="1" operator="greaterThan" dxfId="3">
      <formula>0</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3"/>
  <sheetViews>
    <sheetView showGridLines="0" workbookViewId="0">
      <selection activeCell="A1" sqref="A1"/>
    </sheetView>
  </sheetViews>
  <sheetFormatPr baseColWidth="8" defaultRowHeight="15"/>
  <cols>
    <col width="28" customWidth="1" min="1" max="1"/>
    <col width="14" customWidth="1" min="2" max="2"/>
    <col width="14" customWidth="1" min="3" max="3"/>
    <col width="14" customWidth="1" min="4" max="4"/>
    <col width="14" customWidth="1" min="5" max="5"/>
    <col width="14" customWidth="1" min="6" max="6"/>
    <col width="15" customWidth="1" min="7" max="7"/>
  </cols>
  <sheetData>
    <row r="1">
      <c r="A1" s="1" t="inlineStr">
        <is>
          <t>Receivables aging - who to chase, in what order</t>
        </is>
      </c>
    </row>
    <row r="2">
      <c r="A2" s="2" t="inlineStr">
        <is>
          <t>Buckets recalculate from TODAY(). Nothing here is typed.</t>
        </is>
      </c>
    </row>
    <row r="4" ht="26" customHeight="1">
      <c r="A4" s="7" t="inlineStr">
        <is>
          <t>Customer</t>
        </is>
      </c>
      <c r="B4" s="7" t="inlineStr">
        <is>
          <t>Current</t>
        </is>
      </c>
      <c r="C4" s="7" t="inlineStr">
        <is>
          <t>1-30 days</t>
        </is>
      </c>
      <c r="D4" s="7" t="inlineStr">
        <is>
          <t>31-60 days</t>
        </is>
      </c>
      <c r="E4" s="7" t="inlineStr">
        <is>
          <t>61-90 days</t>
        </is>
      </c>
      <c r="F4" s="7" t="inlineStr">
        <is>
          <t>90+ days</t>
        </is>
      </c>
      <c r="G4" s="7" t="inlineStr">
        <is>
          <t>Total open</t>
        </is>
      </c>
    </row>
    <row r="5">
      <c r="A5" s="9" t="inlineStr">
        <is>
          <t>Harding Construction</t>
        </is>
      </c>
      <c r="B5" s="14">
        <f>SUMIFS(Ledger!$E:$E,Ledger!$C:$C,$A5,Ledger!$B:$B,"Invoice",Ledger!$I:$I,"Open",Ledger!$J:$J,"Current")</f>
        <v/>
      </c>
      <c r="C5" s="14">
        <f>SUMIFS(Ledger!$E:$E,Ledger!$C:$C,$A5,Ledger!$B:$B,"Invoice",Ledger!$I:$I,"Open",Ledger!$J:$J,"1-30")</f>
        <v/>
      </c>
      <c r="D5" s="14">
        <f>SUMIFS(Ledger!$E:$E,Ledger!$C:$C,$A5,Ledger!$B:$B,"Invoice",Ledger!$I:$I,"Open",Ledger!$J:$J,"31-60")</f>
        <v/>
      </c>
      <c r="E5" s="14">
        <f>SUMIFS(Ledger!$E:$E,Ledger!$C:$C,$A5,Ledger!$B:$B,"Invoice",Ledger!$I:$I,"Open",Ledger!$J:$J,"61-90")</f>
        <v/>
      </c>
      <c r="F5" s="14">
        <f>SUMIFS(Ledger!$E:$E,Ledger!$C:$C,$A5,Ledger!$B:$B,"Invoice",Ledger!$I:$I,"Open",Ledger!$J:$J,"90+")</f>
        <v/>
      </c>
      <c r="G5" s="15">
        <f>SUM(B5:F5)</f>
        <v/>
      </c>
    </row>
    <row r="6">
      <c r="A6" s="9" t="inlineStr">
        <is>
          <t>Bayline Interiors</t>
        </is>
      </c>
      <c r="B6" s="14">
        <f>SUMIFS(Ledger!$E:$E,Ledger!$C:$C,$A6,Ledger!$B:$B,"Invoice",Ledger!$I:$I,"Open",Ledger!$J:$J,"Current")</f>
        <v/>
      </c>
      <c r="C6" s="14">
        <f>SUMIFS(Ledger!$E:$E,Ledger!$C:$C,$A6,Ledger!$B:$B,"Invoice",Ledger!$I:$I,"Open",Ledger!$J:$J,"1-30")</f>
        <v/>
      </c>
      <c r="D6" s="14">
        <f>SUMIFS(Ledger!$E:$E,Ledger!$C:$C,$A6,Ledger!$B:$B,"Invoice",Ledger!$I:$I,"Open",Ledger!$J:$J,"31-60")</f>
        <v/>
      </c>
      <c r="E6" s="14">
        <f>SUMIFS(Ledger!$E:$E,Ledger!$C:$C,$A6,Ledger!$B:$B,"Invoice",Ledger!$I:$I,"Open",Ledger!$J:$J,"61-90")</f>
        <v/>
      </c>
      <c r="F6" s="14">
        <f>SUMIFS(Ledger!$E:$E,Ledger!$C:$C,$A6,Ledger!$B:$B,"Invoice",Ledger!$I:$I,"Open",Ledger!$J:$J,"90+")</f>
        <v/>
      </c>
      <c r="G6" s="15">
        <f>SUM(B6:F6)</f>
        <v/>
      </c>
    </row>
    <row r="7">
      <c r="A7" s="9" t="inlineStr">
        <is>
          <t>Crestwood Builders</t>
        </is>
      </c>
      <c r="B7" s="14">
        <f>SUMIFS(Ledger!$E:$E,Ledger!$C:$C,$A7,Ledger!$B:$B,"Invoice",Ledger!$I:$I,"Open",Ledger!$J:$J,"Current")</f>
        <v/>
      </c>
      <c r="C7" s="14">
        <f>SUMIFS(Ledger!$E:$E,Ledger!$C:$C,$A7,Ledger!$B:$B,"Invoice",Ledger!$I:$I,"Open",Ledger!$J:$J,"1-30")</f>
        <v/>
      </c>
      <c r="D7" s="14">
        <f>SUMIFS(Ledger!$E:$E,Ledger!$C:$C,$A7,Ledger!$B:$B,"Invoice",Ledger!$I:$I,"Open",Ledger!$J:$J,"31-60")</f>
        <v/>
      </c>
      <c r="E7" s="14">
        <f>SUMIFS(Ledger!$E:$E,Ledger!$C:$C,$A7,Ledger!$B:$B,"Invoice",Ledger!$I:$I,"Open",Ledger!$J:$J,"61-90")</f>
        <v/>
      </c>
      <c r="F7" s="14">
        <f>SUMIFS(Ledger!$E:$E,Ledger!$C:$C,$A7,Ledger!$B:$B,"Invoice",Ledger!$I:$I,"Open",Ledger!$J:$J,"90+")</f>
        <v/>
      </c>
      <c r="G7" s="15">
        <f>SUM(B7:F7)</f>
        <v/>
      </c>
    </row>
    <row r="8">
      <c r="A8" s="9" t="inlineStr">
        <is>
          <t>Dockside Marine</t>
        </is>
      </c>
      <c r="B8" s="14">
        <f>SUMIFS(Ledger!$E:$E,Ledger!$C:$C,$A8,Ledger!$B:$B,"Invoice",Ledger!$I:$I,"Open",Ledger!$J:$J,"Current")</f>
        <v/>
      </c>
      <c r="C8" s="14">
        <f>SUMIFS(Ledger!$E:$E,Ledger!$C:$C,$A8,Ledger!$B:$B,"Invoice",Ledger!$I:$I,"Open",Ledger!$J:$J,"1-30")</f>
        <v/>
      </c>
      <c r="D8" s="14">
        <f>SUMIFS(Ledger!$E:$E,Ledger!$C:$C,$A8,Ledger!$B:$B,"Invoice",Ledger!$I:$I,"Open",Ledger!$J:$J,"31-60")</f>
        <v/>
      </c>
      <c r="E8" s="14">
        <f>SUMIFS(Ledger!$E:$E,Ledger!$C:$C,$A8,Ledger!$B:$B,"Invoice",Ledger!$I:$I,"Open",Ledger!$J:$J,"61-90")</f>
        <v/>
      </c>
      <c r="F8" s="14">
        <f>SUMIFS(Ledger!$E:$E,Ledger!$C:$C,$A8,Ledger!$B:$B,"Invoice",Ledger!$I:$I,"Open",Ledger!$J:$J,"90+")</f>
        <v/>
      </c>
      <c r="G8" s="15">
        <f>SUM(B8:F8)</f>
        <v/>
      </c>
    </row>
    <row r="9">
      <c r="A9" s="9" t="inlineStr">
        <is>
          <t>Vale &amp; Sons Painting</t>
        </is>
      </c>
      <c r="B9" s="14">
        <f>SUMIFS(Ledger!$E:$E,Ledger!$C:$C,$A9,Ledger!$B:$B,"Invoice",Ledger!$I:$I,"Open",Ledger!$J:$J,"Current")</f>
        <v/>
      </c>
      <c r="C9" s="14">
        <f>SUMIFS(Ledger!$E:$E,Ledger!$C:$C,$A9,Ledger!$B:$B,"Invoice",Ledger!$I:$I,"Open",Ledger!$J:$J,"1-30")</f>
        <v/>
      </c>
      <c r="D9" s="14">
        <f>SUMIFS(Ledger!$E:$E,Ledger!$C:$C,$A9,Ledger!$B:$B,"Invoice",Ledger!$I:$I,"Open",Ledger!$J:$J,"31-60")</f>
        <v/>
      </c>
      <c r="E9" s="14">
        <f>SUMIFS(Ledger!$E:$E,Ledger!$C:$C,$A9,Ledger!$B:$B,"Invoice",Ledger!$I:$I,"Open",Ledger!$J:$J,"61-90")</f>
        <v/>
      </c>
      <c r="F9" s="14">
        <f>SUMIFS(Ledger!$E:$E,Ledger!$C:$C,$A9,Ledger!$B:$B,"Invoice",Ledger!$I:$I,"Open",Ledger!$J:$J,"90+")</f>
        <v/>
      </c>
      <c r="G9" s="15">
        <f>SUM(B9:F9)</f>
        <v/>
      </c>
    </row>
    <row r="10">
      <c r="A10" s="9" t="inlineStr">
        <is>
          <t>Northgate Property Co</t>
        </is>
      </c>
      <c r="B10" s="14">
        <f>SUMIFS(Ledger!$E:$E,Ledger!$C:$C,$A10,Ledger!$B:$B,"Invoice",Ledger!$I:$I,"Open",Ledger!$J:$J,"Current")</f>
        <v/>
      </c>
      <c r="C10" s="14">
        <f>SUMIFS(Ledger!$E:$E,Ledger!$C:$C,$A10,Ledger!$B:$B,"Invoice",Ledger!$I:$I,"Open",Ledger!$J:$J,"1-30")</f>
        <v/>
      </c>
      <c r="D10" s="14">
        <f>SUMIFS(Ledger!$E:$E,Ledger!$C:$C,$A10,Ledger!$B:$B,"Invoice",Ledger!$I:$I,"Open",Ledger!$J:$J,"31-60")</f>
        <v/>
      </c>
      <c r="E10" s="14">
        <f>SUMIFS(Ledger!$E:$E,Ledger!$C:$C,$A10,Ledger!$B:$B,"Invoice",Ledger!$I:$I,"Open",Ledger!$J:$J,"61-90")</f>
        <v/>
      </c>
      <c r="F10" s="14">
        <f>SUMIFS(Ledger!$E:$E,Ledger!$C:$C,$A10,Ledger!$B:$B,"Invoice",Ledger!$I:$I,"Open",Ledger!$J:$J,"90+")</f>
        <v/>
      </c>
      <c r="G10" s="15">
        <f>SUM(B10:F10)</f>
        <v/>
      </c>
    </row>
    <row r="11">
      <c r="A11" s="9" t="inlineStr">
        <is>
          <t>Ellerslie Fitout</t>
        </is>
      </c>
      <c r="B11" s="14">
        <f>SUMIFS(Ledger!$E:$E,Ledger!$C:$C,$A11,Ledger!$B:$B,"Invoice",Ledger!$I:$I,"Open",Ledger!$J:$J,"Current")</f>
        <v/>
      </c>
      <c r="C11" s="14">
        <f>SUMIFS(Ledger!$E:$E,Ledger!$C:$C,$A11,Ledger!$B:$B,"Invoice",Ledger!$I:$I,"Open",Ledger!$J:$J,"1-30")</f>
        <v/>
      </c>
      <c r="D11" s="14">
        <f>SUMIFS(Ledger!$E:$E,Ledger!$C:$C,$A11,Ledger!$B:$B,"Invoice",Ledger!$I:$I,"Open",Ledger!$J:$J,"31-60")</f>
        <v/>
      </c>
      <c r="E11" s="14">
        <f>SUMIFS(Ledger!$E:$E,Ledger!$C:$C,$A11,Ledger!$B:$B,"Invoice",Ledger!$I:$I,"Open",Ledger!$J:$J,"61-90")</f>
        <v/>
      </c>
      <c r="F11" s="14">
        <f>SUMIFS(Ledger!$E:$E,Ledger!$C:$C,$A11,Ledger!$B:$B,"Invoice",Ledger!$I:$I,"Open",Ledger!$J:$J,"90+")</f>
        <v/>
      </c>
      <c r="G11" s="15">
        <f>SUM(B11:F11)</f>
        <v/>
      </c>
    </row>
    <row r="12">
      <c r="A12" s="9" t="inlineStr">
        <is>
          <t>Quay Street Developments</t>
        </is>
      </c>
      <c r="B12" s="14">
        <f>SUMIFS(Ledger!$E:$E,Ledger!$C:$C,$A12,Ledger!$B:$B,"Invoice",Ledger!$I:$I,"Open",Ledger!$J:$J,"Current")</f>
        <v/>
      </c>
      <c r="C12" s="14">
        <f>SUMIFS(Ledger!$E:$E,Ledger!$C:$C,$A12,Ledger!$B:$B,"Invoice",Ledger!$I:$I,"Open",Ledger!$J:$J,"1-30")</f>
        <v/>
      </c>
      <c r="D12" s="14">
        <f>SUMIFS(Ledger!$E:$E,Ledger!$C:$C,$A12,Ledger!$B:$B,"Invoice",Ledger!$I:$I,"Open",Ledger!$J:$J,"31-60")</f>
        <v/>
      </c>
      <c r="E12" s="14">
        <f>SUMIFS(Ledger!$E:$E,Ledger!$C:$C,$A12,Ledger!$B:$B,"Invoice",Ledger!$I:$I,"Open",Ledger!$J:$J,"61-90")</f>
        <v/>
      </c>
      <c r="F12" s="14">
        <f>SUMIFS(Ledger!$E:$E,Ledger!$C:$C,$A12,Ledger!$B:$B,"Invoice",Ledger!$I:$I,"Open",Ledger!$J:$J,"90+")</f>
        <v/>
      </c>
      <c r="G12" s="15">
        <f>SUM(B12:F12)</f>
        <v/>
      </c>
    </row>
    <row r="13">
      <c r="A13" s="11" t="inlineStr">
        <is>
          <t>Total</t>
        </is>
      </c>
      <c r="B13" s="15">
        <f>SUM(B5:B12)</f>
        <v/>
      </c>
      <c r="C13" s="15">
        <f>SUM(C5:C12)</f>
        <v/>
      </c>
      <c r="D13" s="15">
        <f>SUM(D5:D12)</f>
        <v/>
      </c>
      <c r="E13" s="15">
        <f>SUM(E5:E12)</f>
        <v/>
      </c>
      <c r="F13" s="15">
        <f>SUM(F5:F12)</f>
        <v/>
      </c>
      <c r="G13" s="15">
        <f>SUM(G5:G12)</f>
        <v/>
      </c>
    </row>
  </sheetData>
  <conditionalFormatting sqref="E5:F13">
    <cfRule type="cellIs" priority="1" operator="greaterThan" dxfId="0">
      <formula>0</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04"/>
  <sheetViews>
    <sheetView showGridLines="0" workbookViewId="0">
      <pane ySplit="4" topLeftCell="A5" activePane="bottomLeft" state="frozen"/>
      <selection pane="bottomLeft" activeCell="A1" sqref="A1"/>
    </sheetView>
  </sheetViews>
  <sheetFormatPr baseColWidth="8" defaultRowHeight="15"/>
  <cols>
    <col width="14" customWidth="1" min="1" max="1"/>
    <col width="28" customWidth="1" min="2" max="2"/>
    <col width="14" customWidth="1" min="3" max="3"/>
    <col width="14" customWidth="1" min="4" max="4"/>
    <col width="13" customWidth="1" min="5" max="5"/>
    <col width="14" customWidth="1" min="6" max="6"/>
  </cols>
  <sheetData>
    <row r="1">
      <c r="A1" s="1" t="inlineStr">
        <is>
          <t>Supplier payment run - what is due in the next 7 days</t>
        </is>
      </c>
    </row>
    <row r="2">
      <c r="A2" s="2" t="inlineStr">
        <is>
          <t>Filter column A for Yes. Sorted by the ledger, so a bill cannot appear here without existing in the books.</t>
        </is>
      </c>
    </row>
    <row r="4" ht="26" customHeight="1">
      <c r="A4" s="7" t="inlineStr">
        <is>
          <t>Pay this run?</t>
        </is>
      </c>
      <c r="B4" s="7" t="inlineStr">
        <is>
          <t>Supplier</t>
        </is>
      </c>
      <c r="C4" s="7" t="inlineStr">
        <is>
          <t>Reference</t>
        </is>
      </c>
      <c r="D4" s="7" t="inlineStr">
        <is>
          <t>Amount</t>
        </is>
      </c>
      <c r="E4" s="7" t="inlineStr">
        <is>
          <t>Due date</t>
        </is>
      </c>
      <c r="F4" s="7" t="inlineStr">
        <is>
          <t>Days overdue</t>
        </is>
      </c>
    </row>
    <row r="5">
      <c r="A5" s="9">
        <f>IF(Ledger!I5&lt;&gt;"Open","",IF(Ledger!F5&lt;=TODAY()+7,"Yes","-"))</f>
        <v/>
      </c>
      <c r="B5" s="9">
        <f>Ledger!C5</f>
        <v/>
      </c>
      <c r="C5" s="9">
        <f>Ledger!D5</f>
        <v/>
      </c>
      <c r="D5" s="10">
        <f>Ledger!E5</f>
        <v/>
      </c>
      <c r="E5" s="8">
        <f>Ledger!F5</f>
        <v/>
      </c>
      <c r="F5" s="9">
        <f>Ledger!G5</f>
        <v/>
      </c>
    </row>
    <row r="6">
      <c r="A6" s="9">
        <f>IF(Ledger!I6&lt;&gt;"Open","",IF(Ledger!F6&lt;=TODAY()+7,"Yes","-"))</f>
        <v/>
      </c>
      <c r="B6" s="9">
        <f>Ledger!C6</f>
        <v/>
      </c>
      <c r="C6" s="9">
        <f>Ledger!D6</f>
        <v/>
      </c>
      <c r="D6" s="10">
        <f>Ledger!E6</f>
        <v/>
      </c>
      <c r="E6" s="8">
        <f>Ledger!F6</f>
        <v/>
      </c>
      <c r="F6" s="9">
        <f>Ledger!G6</f>
        <v/>
      </c>
    </row>
    <row r="7">
      <c r="A7" s="9">
        <f>IF(Ledger!I7&lt;&gt;"Open","",IF(Ledger!F7&lt;=TODAY()+7,"Yes","-"))</f>
        <v/>
      </c>
      <c r="B7" s="9">
        <f>Ledger!C7</f>
        <v/>
      </c>
      <c r="C7" s="9">
        <f>Ledger!D7</f>
        <v/>
      </c>
      <c r="D7" s="10">
        <f>Ledger!E7</f>
        <v/>
      </c>
      <c r="E7" s="8">
        <f>Ledger!F7</f>
        <v/>
      </c>
      <c r="F7" s="9">
        <f>Ledger!G7</f>
        <v/>
      </c>
    </row>
    <row r="8">
      <c r="A8" s="9">
        <f>IF(Ledger!I8&lt;&gt;"Open","",IF(Ledger!F8&lt;=TODAY()+7,"Yes","-"))</f>
        <v/>
      </c>
      <c r="B8" s="9">
        <f>Ledger!C8</f>
        <v/>
      </c>
      <c r="C8" s="9">
        <f>Ledger!D8</f>
        <v/>
      </c>
      <c r="D8" s="10">
        <f>Ledger!E8</f>
        <v/>
      </c>
      <c r="E8" s="8">
        <f>Ledger!F8</f>
        <v/>
      </c>
      <c r="F8" s="9">
        <f>Ledger!G8</f>
        <v/>
      </c>
    </row>
    <row r="9">
      <c r="A9" s="9">
        <f>IF(Ledger!I9&lt;&gt;"Open","",IF(Ledger!F9&lt;=TODAY()+7,"Yes","-"))</f>
        <v/>
      </c>
      <c r="B9" s="9">
        <f>Ledger!C9</f>
        <v/>
      </c>
      <c r="C9" s="9">
        <f>Ledger!D9</f>
        <v/>
      </c>
      <c r="D9" s="10">
        <f>Ledger!E9</f>
        <v/>
      </c>
      <c r="E9" s="8">
        <f>Ledger!F9</f>
        <v/>
      </c>
      <c r="F9" s="9">
        <f>Ledger!G9</f>
        <v/>
      </c>
    </row>
    <row r="10">
      <c r="A10" s="9">
        <f>IF(Ledger!I10&lt;&gt;"Open","",IF(Ledger!F10&lt;=TODAY()+7,"Yes","-"))</f>
        <v/>
      </c>
      <c r="B10" s="9">
        <f>Ledger!C10</f>
        <v/>
      </c>
      <c r="C10" s="9">
        <f>Ledger!D10</f>
        <v/>
      </c>
      <c r="D10" s="10">
        <f>Ledger!E10</f>
        <v/>
      </c>
      <c r="E10" s="8">
        <f>Ledger!F10</f>
        <v/>
      </c>
      <c r="F10" s="9">
        <f>Ledger!G10</f>
        <v/>
      </c>
    </row>
    <row r="11">
      <c r="A11" s="9">
        <f>IF(Ledger!I11&lt;&gt;"Open","",IF(Ledger!F11&lt;=TODAY()+7,"Yes","-"))</f>
        <v/>
      </c>
      <c r="B11" s="9">
        <f>Ledger!C11</f>
        <v/>
      </c>
      <c r="C11" s="9">
        <f>Ledger!D11</f>
        <v/>
      </c>
      <c r="D11" s="10">
        <f>Ledger!E11</f>
        <v/>
      </c>
      <c r="E11" s="8">
        <f>Ledger!F11</f>
        <v/>
      </c>
      <c r="F11" s="9">
        <f>Ledger!G11</f>
        <v/>
      </c>
    </row>
    <row r="12">
      <c r="A12" s="9">
        <f>IF(Ledger!I12&lt;&gt;"Open","",IF(Ledger!F12&lt;=TODAY()+7,"Yes","-"))</f>
        <v/>
      </c>
      <c r="B12" s="9">
        <f>Ledger!C12</f>
        <v/>
      </c>
      <c r="C12" s="9">
        <f>Ledger!D12</f>
        <v/>
      </c>
      <c r="D12" s="10">
        <f>Ledger!E12</f>
        <v/>
      </c>
      <c r="E12" s="8">
        <f>Ledger!F12</f>
        <v/>
      </c>
      <c r="F12" s="9">
        <f>Ledger!G12</f>
        <v/>
      </c>
    </row>
    <row r="13">
      <c r="A13" s="9">
        <f>IF(Ledger!I13&lt;&gt;"Open","",IF(Ledger!F13&lt;=TODAY()+7,"Yes","-"))</f>
        <v/>
      </c>
      <c r="B13" s="9">
        <f>Ledger!C13</f>
        <v/>
      </c>
      <c r="C13" s="9">
        <f>Ledger!D13</f>
        <v/>
      </c>
      <c r="D13" s="10">
        <f>Ledger!E13</f>
        <v/>
      </c>
      <c r="E13" s="8">
        <f>Ledger!F13</f>
        <v/>
      </c>
      <c r="F13" s="9">
        <f>Ledger!G13</f>
        <v/>
      </c>
    </row>
    <row r="14">
      <c r="A14" s="9">
        <f>IF(Ledger!I14&lt;&gt;"Open","",IF(Ledger!F14&lt;=TODAY()+7,"Yes","-"))</f>
        <v/>
      </c>
      <c r="B14" s="9">
        <f>Ledger!C14</f>
        <v/>
      </c>
      <c r="C14" s="9">
        <f>Ledger!D14</f>
        <v/>
      </c>
      <c r="D14" s="10">
        <f>Ledger!E14</f>
        <v/>
      </c>
      <c r="E14" s="8">
        <f>Ledger!F14</f>
        <v/>
      </c>
      <c r="F14" s="9">
        <f>Ledger!G14</f>
        <v/>
      </c>
    </row>
    <row r="15">
      <c r="A15" s="9">
        <f>IF(Ledger!I15&lt;&gt;"Open","",IF(Ledger!F15&lt;=TODAY()+7,"Yes","-"))</f>
        <v/>
      </c>
      <c r="B15" s="9">
        <f>Ledger!C15</f>
        <v/>
      </c>
      <c r="C15" s="9">
        <f>Ledger!D15</f>
        <v/>
      </c>
      <c r="D15" s="10">
        <f>Ledger!E15</f>
        <v/>
      </c>
      <c r="E15" s="8">
        <f>Ledger!F15</f>
        <v/>
      </c>
      <c r="F15" s="9">
        <f>Ledger!G15</f>
        <v/>
      </c>
    </row>
    <row r="16">
      <c r="A16" s="9">
        <f>IF(Ledger!I16&lt;&gt;"Open","",IF(Ledger!F16&lt;=TODAY()+7,"Yes","-"))</f>
        <v/>
      </c>
      <c r="B16" s="9">
        <f>Ledger!C16</f>
        <v/>
      </c>
      <c r="C16" s="9">
        <f>Ledger!D16</f>
        <v/>
      </c>
      <c r="D16" s="10">
        <f>Ledger!E16</f>
        <v/>
      </c>
      <c r="E16" s="8">
        <f>Ledger!F16</f>
        <v/>
      </c>
      <c r="F16" s="9">
        <f>Ledger!G16</f>
        <v/>
      </c>
    </row>
    <row r="17">
      <c r="A17" s="9">
        <f>IF(Ledger!I17&lt;&gt;"Open","",IF(Ledger!F17&lt;=TODAY()+7,"Yes","-"))</f>
        <v/>
      </c>
      <c r="B17" s="9">
        <f>Ledger!C17</f>
        <v/>
      </c>
      <c r="C17" s="9">
        <f>Ledger!D17</f>
        <v/>
      </c>
      <c r="D17" s="10">
        <f>Ledger!E17</f>
        <v/>
      </c>
      <c r="E17" s="8">
        <f>Ledger!F17</f>
        <v/>
      </c>
      <c r="F17" s="9">
        <f>Ledger!G17</f>
        <v/>
      </c>
    </row>
    <row r="18">
      <c r="A18" s="9">
        <f>IF(Ledger!I18&lt;&gt;"Open","",IF(Ledger!F18&lt;=TODAY()+7,"Yes","-"))</f>
        <v/>
      </c>
      <c r="B18" s="9">
        <f>Ledger!C18</f>
        <v/>
      </c>
      <c r="C18" s="9">
        <f>Ledger!D18</f>
        <v/>
      </c>
      <c r="D18" s="10">
        <f>Ledger!E18</f>
        <v/>
      </c>
      <c r="E18" s="8">
        <f>Ledger!F18</f>
        <v/>
      </c>
      <c r="F18" s="9">
        <f>Ledger!G18</f>
        <v/>
      </c>
    </row>
    <row r="19">
      <c r="A19" s="9">
        <f>IF(Ledger!I19&lt;&gt;"Open","",IF(Ledger!F19&lt;=TODAY()+7,"Yes","-"))</f>
        <v/>
      </c>
      <c r="B19" s="9">
        <f>Ledger!C19</f>
        <v/>
      </c>
      <c r="C19" s="9">
        <f>Ledger!D19</f>
        <v/>
      </c>
      <c r="D19" s="10">
        <f>Ledger!E19</f>
        <v/>
      </c>
      <c r="E19" s="8">
        <f>Ledger!F19</f>
        <v/>
      </c>
      <c r="F19" s="9">
        <f>Ledger!G19</f>
        <v/>
      </c>
    </row>
    <row r="20">
      <c r="A20" s="9">
        <f>IF(Ledger!I20&lt;&gt;"Open","",IF(Ledger!F20&lt;=TODAY()+7,"Yes","-"))</f>
        <v/>
      </c>
      <c r="B20" s="9">
        <f>Ledger!C20</f>
        <v/>
      </c>
      <c r="C20" s="9">
        <f>Ledger!D20</f>
        <v/>
      </c>
      <c r="D20" s="10">
        <f>Ledger!E20</f>
        <v/>
      </c>
      <c r="E20" s="8">
        <f>Ledger!F20</f>
        <v/>
      </c>
      <c r="F20" s="9">
        <f>Ledger!G20</f>
        <v/>
      </c>
    </row>
    <row r="21">
      <c r="A21" s="9">
        <f>IF(Ledger!I21&lt;&gt;"Open","",IF(Ledger!F21&lt;=TODAY()+7,"Yes","-"))</f>
        <v/>
      </c>
      <c r="B21" s="9">
        <f>Ledger!C21</f>
        <v/>
      </c>
      <c r="C21" s="9">
        <f>Ledger!D21</f>
        <v/>
      </c>
      <c r="D21" s="10">
        <f>Ledger!E21</f>
        <v/>
      </c>
      <c r="E21" s="8">
        <f>Ledger!F21</f>
        <v/>
      </c>
      <c r="F21" s="9">
        <f>Ledger!G21</f>
        <v/>
      </c>
    </row>
    <row r="22">
      <c r="A22" s="9">
        <f>IF(Ledger!I22&lt;&gt;"Open","",IF(Ledger!F22&lt;=TODAY()+7,"Yes","-"))</f>
        <v/>
      </c>
      <c r="B22" s="9">
        <f>Ledger!C22</f>
        <v/>
      </c>
      <c r="C22" s="9">
        <f>Ledger!D22</f>
        <v/>
      </c>
      <c r="D22" s="10">
        <f>Ledger!E22</f>
        <v/>
      </c>
      <c r="E22" s="8">
        <f>Ledger!F22</f>
        <v/>
      </c>
      <c r="F22" s="9">
        <f>Ledger!G22</f>
        <v/>
      </c>
    </row>
    <row r="23">
      <c r="A23" s="9">
        <f>IF(Ledger!I23&lt;&gt;"Open","",IF(Ledger!F23&lt;=TODAY()+7,"Yes","-"))</f>
        <v/>
      </c>
      <c r="B23" s="9">
        <f>Ledger!C23</f>
        <v/>
      </c>
      <c r="C23" s="9">
        <f>Ledger!D23</f>
        <v/>
      </c>
      <c r="D23" s="10">
        <f>Ledger!E23</f>
        <v/>
      </c>
      <c r="E23" s="8">
        <f>Ledger!F23</f>
        <v/>
      </c>
      <c r="F23" s="9">
        <f>Ledger!G23</f>
        <v/>
      </c>
    </row>
    <row r="24">
      <c r="A24" s="9">
        <f>IF(Ledger!I24&lt;&gt;"Open","",IF(Ledger!F24&lt;=TODAY()+7,"Yes","-"))</f>
        <v/>
      </c>
      <c r="B24" s="9">
        <f>Ledger!C24</f>
        <v/>
      </c>
      <c r="C24" s="9">
        <f>Ledger!D24</f>
        <v/>
      </c>
      <c r="D24" s="10">
        <f>Ledger!E24</f>
        <v/>
      </c>
      <c r="E24" s="8">
        <f>Ledger!F24</f>
        <v/>
      </c>
      <c r="F24" s="9">
        <f>Ledger!G24</f>
        <v/>
      </c>
    </row>
    <row r="25">
      <c r="A25" s="9">
        <f>IF(Ledger!I25&lt;&gt;"Open","",IF(Ledger!F25&lt;=TODAY()+7,"Yes","-"))</f>
        <v/>
      </c>
      <c r="B25" s="9">
        <f>Ledger!C25</f>
        <v/>
      </c>
      <c r="C25" s="9">
        <f>Ledger!D25</f>
        <v/>
      </c>
      <c r="D25" s="10">
        <f>Ledger!E25</f>
        <v/>
      </c>
      <c r="E25" s="8">
        <f>Ledger!F25</f>
        <v/>
      </c>
      <c r="F25" s="9">
        <f>Ledger!G25</f>
        <v/>
      </c>
    </row>
    <row r="26">
      <c r="A26" s="9">
        <f>IF(Ledger!I26&lt;&gt;"Open","",IF(Ledger!F26&lt;=TODAY()+7,"Yes","-"))</f>
        <v/>
      </c>
      <c r="B26" s="9">
        <f>Ledger!C26</f>
        <v/>
      </c>
      <c r="C26" s="9">
        <f>Ledger!D26</f>
        <v/>
      </c>
      <c r="D26" s="10">
        <f>Ledger!E26</f>
        <v/>
      </c>
      <c r="E26" s="8">
        <f>Ledger!F26</f>
        <v/>
      </c>
      <c r="F26" s="9">
        <f>Ledger!G26</f>
        <v/>
      </c>
    </row>
    <row r="27">
      <c r="A27" s="9">
        <f>IF(Ledger!I27&lt;&gt;"Open","",IF(Ledger!F27&lt;=TODAY()+7,"Yes","-"))</f>
        <v/>
      </c>
      <c r="B27" s="9">
        <f>Ledger!C27</f>
        <v/>
      </c>
      <c r="C27" s="9">
        <f>Ledger!D27</f>
        <v/>
      </c>
      <c r="D27" s="10">
        <f>Ledger!E27</f>
        <v/>
      </c>
      <c r="E27" s="8">
        <f>Ledger!F27</f>
        <v/>
      </c>
      <c r="F27" s="9">
        <f>Ledger!G27</f>
        <v/>
      </c>
    </row>
    <row r="28">
      <c r="A28" s="9">
        <f>IF(Ledger!I28&lt;&gt;"Open","",IF(Ledger!F28&lt;=TODAY()+7,"Yes","-"))</f>
        <v/>
      </c>
      <c r="B28" s="9">
        <f>Ledger!C28</f>
        <v/>
      </c>
      <c r="C28" s="9">
        <f>Ledger!D28</f>
        <v/>
      </c>
      <c r="D28" s="10">
        <f>Ledger!E28</f>
        <v/>
      </c>
      <c r="E28" s="8">
        <f>Ledger!F28</f>
        <v/>
      </c>
      <c r="F28" s="9">
        <f>Ledger!G28</f>
        <v/>
      </c>
    </row>
    <row r="29">
      <c r="A29" s="9">
        <f>IF(Ledger!I29&lt;&gt;"Open","",IF(Ledger!F29&lt;=TODAY()+7,"Yes","-"))</f>
        <v/>
      </c>
      <c r="B29" s="9">
        <f>Ledger!C29</f>
        <v/>
      </c>
      <c r="C29" s="9">
        <f>Ledger!D29</f>
        <v/>
      </c>
      <c r="D29" s="10">
        <f>Ledger!E29</f>
        <v/>
      </c>
      <c r="E29" s="8">
        <f>Ledger!F29</f>
        <v/>
      </c>
      <c r="F29" s="9">
        <f>Ledger!G29</f>
        <v/>
      </c>
    </row>
    <row r="30">
      <c r="A30" s="9">
        <f>IF(Ledger!I30&lt;&gt;"Open","",IF(Ledger!F30&lt;=TODAY()+7,"Yes","-"))</f>
        <v/>
      </c>
      <c r="B30" s="9">
        <f>Ledger!C30</f>
        <v/>
      </c>
      <c r="C30" s="9">
        <f>Ledger!D30</f>
        <v/>
      </c>
      <c r="D30" s="10">
        <f>Ledger!E30</f>
        <v/>
      </c>
      <c r="E30" s="8">
        <f>Ledger!F30</f>
        <v/>
      </c>
      <c r="F30" s="9">
        <f>Ledger!G30</f>
        <v/>
      </c>
    </row>
    <row r="31">
      <c r="A31" s="9">
        <f>IF(Ledger!I31&lt;&gt;"Open","",IF(Ledger!F31&lt;=TODAY()+7,"Yes","-"))</f>
        <v/>
      </c>
      <c r="B31" s="9">
        <f>Ledger!C31</f>
        <v/>
      </c>
      <c r="C31" s="9">
        <f>Ledger!D31</f>
        <v/>
      </c>
      <c r="D31" s="10">
        <f>Ledger!E31</f>
        <v/>
      </c>
      <c r="E31" s="8">
        <f>Ledger!F31</f>
        <v/>
      </c>
      <c r="F31" s="9">
        <f>Ledger!G31</f>
        <v/>
      </c>
    </row>
    <row r="32">
      <c r="A32" s="9">
        <f>IF(Ledger!I32&lt;&gt;"Open","",IF(Ledger!F32&lt;=TODAY()+7,"Yes","-"))</f>
        <v/>
      </c>
      <c r="B32" s="9">
        <f>Ledger!C32</f>
        <v/>
      </c>
      <c r="C32" s="9">
        <f>Ledger!D32</f>
        <v/>
      </c>
      <c r="D32" s="10">
        <f>Ledger!E32</f>
        <v/>
      </c>
      <c r="E32" s="8">
        <f>Ledger!F32</f>
        <v/>
      </c>
      <c r="F32" s="9">
        <f>Ledger!G32</f>
        <v/>
      </c>
    </row>
    <row r="33">
      <c r="A33" s="9">
        <f>IF(Ledger!I33&lt;&gt;"Open","",IF(Ledger!F33&lt;=TODAY()+7,"Yes","-"))</f>
        <v/>
      </c>
      <c r="B33" s="9">
        <f>Ledger!C33</f>
        <v/>
      </c>
      <c r="C33" s="9">
        <f>Ledger!D33</f>
        <v/>
      </c>
      <c r="D33" s="10">
        <f>Ledger!E33</f>
        <v/>
      </c>
      <c r="E33" s="8">
        <f>Ledger!F33</f>
        <v/>
      </c>
      <c r="F33" s="9">
        <f>Ledger!G33</f>
        <v/>
      </c>
    </row>
    <row r="34">
      <c r="A34" s="9">
        <f>IF(Ledger!I34&lt;&gt;"Open","",IF(Ledger!F34&lt;=TODAY()+7,"Yes","-"))</f>
        <v/>
      </c>
      <c r="B34" s="9">
        <f>Ledger!C34</f>
        <v/>
      </c>
      <c r="C34" s="9">
        <f>Ledger!D34</f>
        <v/>
      </c>
      <c r="D34" s="10">
        <f>Ledger!E34</f>
        <v/>
      </c>
      <c r="E34" s="8">
        <f>Ledger!F34</f>
        <v/>
      </c>
      <c r="F34" s="9">
        <f>Ledger!G34</f>
        <v/>
      </c>
    </row>
    <row r="35">
      <c r="A35" s="9">
        <f>IF(Ledger!I35&lt;&gt;"Open","",IF(Ledger!F35&lt;=TODAY()+7,"Yes","-"))</f>
        <v/>
      </c>
      <c r="B35" s="9">
        <f>Ledger!C35</f>
        <v/>
      </c>
      <c r="C35" s="9">
        <f>Ledger!D35</f>
        <v/>
      </c>
      <c r="D35" s="10">
        <f>Ledger!E35</f>
        <v/>
      </c>
      <c r="E35" s="8">
        <f>Ledger!F35</f>
        <v/>
      </c>
      <c r="F35" s="9">
        <f>Ledger!G35</f>
        <v/>
      </c>
    </row>
    <row r="36">
      <c r="A36" s="9">
        <f>IF(Ledger!I36&lt;&gt;"Open","",IF(Ledger!F36&lt;=TODAY()+7,"Yes","-"))</f>
        <v/>
      </c>
      <c r="B36" s="9">
        <f>Ledger!C36</f>
        <v/>
      </c>
      <c r="C36" s="9">
        <f>Ledger!D36</f>
        <v/>
      </c>
      <c r="D36" s="10">
        <f>Ledger!E36</f>
        <v/>
      </c>
      <c r="E36" s="8">
        <f>Ledger!F36</f>
        <v/>
      </c>
      <c r="F36" s="9">
        <f>Ledger!G36</f>
        <v/>
      </c>
    </row>
    <row r="37">
      <c r="A37" s="9">
        <f>IF(Ledger!I37&lt;&gt;"Open","",IF(Ledger!F37&lt;=TODAY()+7,"Yes","-"))</f>
        <v/>
      </c>
      <c r="B37" s="9">
        <f>Ledger!C37</f>
        <v/>
      </c>
      <c r="C37" s="9">
        <f>Ledger!D37</f>
        <v/>
      </c>
      <c r="D37" s="10">
        <f>Ledger!E37</f>
        <v/>
      </c>
      <c r="E37" s="8">
        <f>Ledger!F37</f>
        <v/>
      </c>
      <c r="F37" s="9">
        <f>Ledger!G37</f>
        <v/>
      </c>
    </row>
    <row r="38">
      <c r="A38" s="9">
        <f>IF(Ledger!I38&lt;&gt;"Open","",IF(Ledger!F38&lt;=TODAY()+7,"Yes","-"))</f>
        <v/>
      </c>
      <c r="B38" s="9">
        <f>Ledger!C38</f>
        <v/>
      </c>
      <c r="C38" s="9">
        <f>Ledger!D38</f>
        <v/>
      </c>
      <c r="D38" s="10">
        <f>Ledger!E38</f>
        <v/>
      </c>
      <c r="E38" s="8">
        <f>Ledger!F38</f>
        <v/>
      </c>
      <c r="F38" s="9">
        <f>Ledger!G38</f>
        <v/>
      </c>
    </row>
    <row r="39">
      <c r="A39" s="9">
        <f>IF(Ledger!I39&lt;&gt;"Open","",IF(Ledger!F39&lt;=TODAY()+7,"Yes","-"))</f>
        <v/>
      </c>
      <c r="B39" s="9">
        <f>Ledger!C39</f>
        <v/>
      </c>
      <c r="C39" s="9">
        <f>Ledger!D39</f>
        <v/>
      </c>
      <c r="D39" s="10">
        <f>Ledger!E39</f>
        <v/>
      </c>
      <c r="E39" s="8">
        <f>Ledger!F39</f>
        <v/>
      </c>
      <c r="F39" s="9">
        <f>Ledger!G39</f>
        <v/>
      </c>
    </row>
    <row r="40">
      <c r="A40" s="9">
        <f>IF(Ledger!I40&lt;&gt;"Open","",IF(Ledger!F40&lt;=TODAY()+7,"Yes","-"))</f>
        <v/>
      </c>
      <c r="B40" s="9">
        <f>Ledger!C40</f>
        <v/>
      </c>
      <c r="C40" s="9">
        <f>Ledger!D40</f>
        <v/>
      </c>
      <c r="D40" s="10">
        <f>Ledger!E40</f>
        <v/>
      </c>
      <c r="E40" s="8">
        <f>Ledger!F40</f>
        <v/>
      </c>
      <c r="F40" s="9">
        <f>Ledger!G40</f>
        <v/>
      </c>
    </row>
    <row r="41">
      <c r="A41" s="9">
        <f>IF(Ledger!I41&lt;&gt;"Open","",IF(Ledger!F41&lt;=TODAY()+7,"Yes","-"))</f>
        <v/>
      </c>
      <c r="B41" s="9">
        <f>Ledger!C41</f>
        <v/>
      </c>
      <c r="C41" s="9">
        <f>Ledger!D41</f>
        <v/>
      </c>
      <c r="D41" s="10">
        <f>Ledger!E41</f>
        <v/>
      </c>
      <c r="E41" s="8">
        <f>Ledger!F41</f>
        <v/>
      </c>
      <c r="F41" s="9">
        <f>Ledger!G41</f>
        <v/>
      </c>
    </row>
    <row r="42">
      <c r="A42" s="9">
        <f>IF(Ledger!I42&lt;&gt;"Open","",IF(Ledger!F42&lt;=TODAY()+7,"Yes","-"))</f>
        <v/>
      </c>
      <c r="B42" s="9">
        <f>Ledger!C42</f>
        <v/>
      </c>
      <c r="C42" s="9">
        <f>Ledger!D42</f>
        <v/>
      </c>
      <c r="D42" s="10">
        <f>Ledger!E42</f>
        <v/>
      </c>
      <c r="E42" s="8">
        <f>Ledger!F42</f>
        <v/>
      </c>
      <c r="F42" s="9">
        <f>Ledger!G42</f>
        <v/>
      </c>
    </row>
    <row r="43">
      <c r="A43" s="9">
        <f>IF(Ledger!I43&lt;&gt;"Open","",IF(Ledger!F43&lt;=TODAY()+7,"Yes","-"))</f>
        <v/>
      </c>
      <c r="B43" s="9">
        <f>Ledger!C43</f>
        <v/>
      </c>
      <c r="C43" s="9">
        <f>Ledger!D43</f>
        <v/>
      </c>
      <c r="D43" s="10">
        <f>Ledger!E43</f>
        <v/>
      </c>
      <c r="E43" s="8">
        <f>Ledger!F43</f>
        <v/>
      </c>
      <c r="F43" s="9">
        <f>Ledger!G43</f>
        <v/>
      </c>
    </row>
    <row r="44">
      <c r="A44" s="9">
        <f>IF(Ledger!I44&lt;&gt;"Open","",IF(Ledger!F44&lt;=TODAY()+7,"Yes","-"))</f>
        <v/>
      </c>
      <c r="B44" s="9">
        <f>Ledger!C44</f>
        <v/>
      </c>
      <c r="C44" s="9">
        <f>Ledger!D44</f>
        <v/>
      </c>
      <c r="D44" s="10">
        <f>Ledger!E44</f>
        <v/>
      </c>
      <c r="E44" s="8">
        <f>Ledger!F44</f>
        <v/>
      </c>
      <c r="F44" s="9">
        <f>Ledger!G44</f>
        <v/>
      </c>
    </row>
    <row r="45">
      <c r="A45" s="9">
        <f>IF(Ledger!I45&lt;&gt;"Open","",IF(Ledger!F45&lt;=TODAY()+7,"Yes","-"))</f>
        <v/>
      </c>
      <c r="B45" s="9">
        <f>Ledger!C45</f>
        <v/>
      </c>
      <c r="C45" s="9">
        <f>Ledger!D45</f>
        <v/>
      </c>
      <c r="D45" s="10">
        <f>Ledger!E45</f>
        <v/>
      </c>
      <c r="E45" s="8">
        <f>Ledger!F45</f>
        <v/>
      </c>
      <c r="F45" s="9">
        <f>Ledger!G45</f>
        <v/>
      </c>
    </row>
    <row r="46">
      <c r="A46" s="9">
        <f>IF(Ledger!I46&lt;&gt;"Open","",IF(Ledger!F46&lt;=TODAY()+7,"Yes","-"))</f>
        <v/>
      </c>
      <c r="B46" s="9">
        <f>Ledger!C46</f>
        <v/>
      </c>
      <c r="C46" s="9">
        <f>Ledger!D46</f>
        <v/>
      </c>
      <c r="D46" s="10">
        <f>Ledger!E46</f>
        <v/>
      </c>
      <c r="E46" s="8">
        <f>Ledger!F46</f>
        <v/>
      </c>
      <c r="F46" s="9">
        <f>Ledger!G46</f>
        <v/>
      </c>
    </row>
    <row r="47">
      <c r="A47" s="9">
        <f>IF(Ledger!I47&lt;&gt;"Open","",IF(Ledger!F47&lt;=TODAY()+7,"Yes","-"))</f>
        <v/>
      </c>
      <c r="B47" s="9">
        <f>Ledger!C47</f>
        <v/>
      </c>
      <c r="C47" s="9">
        <f>Ledger!D47</f>
        <v/>
      </c>
      <c r="D47" s="10">
        <f>Ledger!E47</f>
        <v/>
      </c>
      <c r="E47" s="8">
        <f>Ledger!F47</f>
        <v/>
      </c>
      <c r="F47" s="9">
        <f>Ledger!G47</f>
        <v/>
      </c>
    </row>
    <row r="48">
      <c r="A48" s="9">
        <f>IF(Ledger!I48&lt;&gt;"Open","",IF(Ledger!F48&lt;=TODAY()+7,"Yes","-"))</f>
        <v/>
      </c>
      <c r="B48" s="9">
        <f>Ledger!C48</f>
        <v/>
      </c>
      <c r="C48" s="9">
        <f>Ledger!D48</f>
        <v/>
      </c>
      <c r="D48" s="10">
        <f>Ledger!E48</f>
        <v/>
      </c>
      <c r="E48" s="8">
        <f>Ledger!F48</f>
        <v/>
      </c>
      <c r="F48" s="9">
        <f>Ledger!G48</f>
        <v/>
      </c>
    </row>
    <row r="49">
      <c r="A49" s="9">
        <f>IF(Ledger!I49&lt;&gt;"Open","",IF(Ledger!F49&lt;=TODAY()+7,"Yes","-"))</f>
        <v/>
      </c>
      <c r="B49" s="9">
        <f>Ledger!C49</f>
        <v/>
      </c>
      <c r="C49" s="9">
        <f>Ledger!D49</f>
        <v/>
      </c>
      <c r="D49" s="10">
        <f>Ledger!E49</f>
        <v/>
      </c>
      <c r="E49" s="8">
        <f>Ledger!F49</f>
        <v/>
      </c>
      <c r="F49" s="9">
        <f>Ledger!G49</f>
        <v/>
      </c>
    </row>
    <row r="50">
      <c r="A50" s="9">
        <f>IF(Ledger!I50&lt;&gt;"Open","",IF(Ledger!F50&lt;=TODAY()+7,"Yes","-"))</f>
        <v/>
      </c>
      <c r="B50" s="9">
        <f>Ledger!C50</f>
        <v/>
      </c>
      <c r="C50" s="9">
        <f>Ledger!D50</f>
        <v/>
      </c>
      <c r="D50" s="10">
        <f>Ledger!E50</f>
        <v/>
      </c>
      <c r="E50" s="8">
        <f>Ledger!F50</f>
        <v/>
      </c>
      <c r="F50" s="9">
        <f>Ledger!G50</f>
        <v/>
      </c>
    </row>
    <row r="51">
      <c r="A51" s="9">
        <f>IF(Ledger!I51&lt;&gt;"Open","",IF(Ledger!F51&lt;=TODAY()+7,"Yes","-"))</f>
        <v/>
      </c>
      <c r="B51" s="9">
        <f>Ledger!C51</f>
        <v/>
      </c>
      <c r="C51" s="9">
        <f>Ledger!D51</f>
        <v/>
      </c>
      <c r="D51" s="10">
        <f>Ledger!E51</f>
        <v/>
      </c>
      <c r="E51" s="8">
        <f>Ledger!F51</f>
        <v/>
      </c>
      <c r="F51" s="9">
        <f>Ledger!G51</f>
        <v/>
      </c>
    </row>
    <row r="52">
      <c r="A52" s="9">
        <f>IF(Ledger!I52&lt;&gt;"Open","",IF(Ledger!F52&lt;=TODAY()+7,"Yes","-"))</f>
        <v/>
      </c>
      <c r="B52" s="9">
        <f>Ledger!C52</f>
        <v/>
      </c>
      <c r="C52" s="9">
        <f>Ledger!D52</f>
        <v/>
      </c>
      <c r="D52" s="10">
        <f>Ledger!E52</f>
        <v/>
      </c>
      <c r="E52" s="8">
        <f>Ledger!F52</f>
        <v/>
      </c>
      <c r="F52" s="9">
        <f>Ledger!G52</f>
        <v/>
      </c>
    </row>
    <row r="53">
      <c r="A53" s="9">
        <f>IF(Ledger!I53&lt;&gt;"Open","",IF(Ledger!F53&lt;=TODAY()+7,"Yes","-"))</f>
        <v/>
      </c>
      <c r="B53" s="9">
        <f>Ledger!C53</f>
        <v/>
      </c>
      <c r="C53" s="9">
        <f>Ledger!D53</f>
        <v/>
      </c>
      <c r="D53" s="10">
        <f>Ledger!E53</f>
        <v/>
      </c>
      <c r="E53" s="8">
        <f>Ledger!F53</f>
        <v/>
      </c>
      <c r="F53" s="9">
        <f>Ledger!G53</f>
        <v/>
      </c>
    </row>
    <row r="54">
      <c r="A54" s="9">
        <f>IF(Ledger!I54&lt;&gt;"Open","",IF(Ledger!F54&lt;=TODAY()+7,"Yes","-"))</f>
        <v/>
      </c>
      <c r="B54" s="9">
        <f>Ledger!C54</f>
        <v/>
      </c>
      <c r="C54" s="9">
        <f>Ledger!D54</f>
        <v/>
      </c>
      <c r="D54" s="10">
        <f>Ledger!E54</f>
        <v/>
      </c>
      <c r="E54" s="8">
        <f>Ledger!F54</f>
        <v/>
      </c>
      <c r="F54" s="9">
        <f>Ledger!G54</f>
        <v/>
      </c>
    </row>
    <row r="55">
      <c r="A55" s="9">
        <f>IF(Ledger!I55&lt;&gt;"Open","",IF(Ledger!F55&lt;=TODAY()+7,"Yes","-"))</f>
        <v/>
      </c>
      <c r="B55" s="9">
        <f>Ledger!C55</f>
        <v/>
      </c>
      <c r="C55" s="9">
        <f>Ledger!D55</f>
        <v/>
      </c>
      <c r="D55" s="10">
        <f>Ledger!E55</f>
        <v/>
      </c>
      <c r="E55" s="8">
        <f>Ledger!F55</f>
        <v/>
      </c>
      <c r="F55" s="9">
        <f>Ledger!G55</f>
        <v/>
      </c>
    </row>
    <row r="56">
      <c r="A56" s="9">
        <f>IF(Ledger!I56&lt;&gt;"Open","",IF(Ledger!F56&lt;=TODAY()+7,"Yes","-"))</f>
        <v/>
      </c>
      <c r="B56" s="9">
        <f>Ledger!C56</f>
        <v/>
      </c>
      <c r="C56" s="9">
        <f>Ledger!D56</f>
        <v/>
      </c>
      <c r="D56" s="10">
        <f>Ledger!E56</f>
        <v/>
      </c>
      <c r="E56" s="8">
        <f>Ledger!F56</f>
        <v/>
      </c>
      <c r="F56" s="9">
        <f>Ledger!G56</f>
        <v/>
      </c>
    </row>
    <row r="57">
      <c r="A57" s="9">
        <f>IF(Ledger!I57&lt;&gt;"Open","",IF(Ledger!F57&lt;=TODAY()+7,"Yes","-"))</f>
        <v/>
      </c>
      <c r="B57" s="9">
        <f>Ledger!C57</f>
        <v/>
      </c>
      <c r="C57" s="9">
        <f>Ledger!D57</f>
        <v/>
      </c>
      <c r="D57" s="10">
        <f>Ledger!E57</f>
        <v/>
      </c>
      <c r="E57" s="8">
        <f>Ledger!F57</f>
        <v/>
      </c>
      <c r="F57" s="9">
        <f>Ledger!G57</f>
        <v/>
      </c>
    </row>
    <row r="58">
      <c r="A58" s="9">
        <f>IF(Ledger!I58&lt;&gt;"Open","",IF(Ledger!F58&lt;=TODAY()+7,"Yes","-"))</f>
        <v/>
      </c>
      <c r="B58" s="9">
        <f>Ledger!C58</f>
        <v/>
      </c>
      <c r="C58" s="9">
        <f>Ledger!D58</f>
        <v/>
      </c>
      <c r="D58" s="10">
        <f>Ledger!E58</f>
        <v/>
      </c>
      <c r="E58" s="8">
        <f>Ledger!F58</f>
        <v/>
      </c>
      <c r="F58" s="9">
        <f>Ledger!G58</f>
        <v/>
      </c>
    </row>
    <row r="59">
      <c r="A59" s="9">
        <f>IF(Ledger!I59&lt;&gt;"Open","",IF(Ledger!F59&lt;=TODAY()+7,"Yes","-"))</f>
        <v/>
      </c>
      <c r="B59" s="9">
        <f>Ledger!C59</f>
        <v/>
      </c>
      <c r="C59" s="9">
        <f>Ledger!D59</f>
        <v/>
      </c>
      <c r="D59" s="10">
        <f>Ledger!E59</f>
        <v/>
      </c>
      <c r="E59" s="8">
        <f>Ledger!F59</f>
        <v/>
      </c>
      <c r="F59" s="9">
        <f>Ledger!G59</f>
        <v/>
      </c>
    </row>
    <row r="60">
      <c r="A60" s="9">
        <f>IF(Ledger!I60&lt;&gt;"Open","",IF(Ledger!F60&lt;=TODAY()+7,"Yes","-"))</f>
        <v/>
      </c>
      <c r="B60" s="9">
        <f>Ledger!C60</f>
        <v/>
      </c>
      <c r="C60" s="9">
        <f>Ledger!D60</f>
        <v/>
      </c>
      <c r="D60" s="10">
        <f>Ledger!E60</f>
        <v/>
      </c>
      <c r="E60" s="8">
        <f>Ledger!F60</f>
        <v/>
      </c>
      <c r="F60" s="9">
        <f>Ledger!G60</f>
        <v/>
      </c>
    </row>
    <row r="61">
      <c r="A61" s="9">
        <f>IF(Ledger!I61&lt;&gt;"Open","",IF(Ledger!F61&lt;=TODAY()+7,"Yes","-"))</f>
        <v/>
      </c>
      <c r="B61" s="9">
        <f>Ledger!C61</f>
        <v/>
      </c>
      <c r="C61" s="9">
        <f>Ledger!D61</f>
        <v/>
      </c>
      <c r="D61" s="10">
        <f>Ledger!E61</f>
        <v/>
      </c>
      <c r="E61" s="8">
        <f>Ledger!F61</f>
        <v/>
      </c>
      <c r="F61" s="9">
        <f>Ledger!G61</f>
        <v/>
      </c>
    </row>
    <row r="62">
      <c r="A62" s="9">
        <f>IF(Ledger!I62&lt;&gt;"Open","",IF(Ledger!F62&lt;=TODAY()+7,"Yes","-"))</f>
        <v/>
      </c>
      <c r="B62" s="9">
        <f>Ledger!C62</f>
        <v/>
      </c>
      <c r="C62" s="9">
        <f>Ledger!D62</f>
        <v/>
      </c>
      <c r="D62" s="10">
        <f>Ledger!E62</f>
        <v/>
      </c>
      <c r="E62" s="8">
        <f>Ledger!F62</f>
        <v/>
      </c>
      <c r="F62" s="9">
        <f>Ledger!G62</f>
        <v/>
      </c>
    </row>
    <row r="63">
      <c r="A63" s="9">
        <f>IF(Ledger!I63&lt;&gt;"Open","",IF(Ledger!F63&lt;=TODAY()+7,"Yes","-"))</f>
        <v/>
      </c>
      <c r="B63" s="9">
        <f>Ledger!C63</f>
        <v/>
      </c>
      <c r="C63" s="9">
        <f>Ledger!D63</f>
        <v/>
      </c>
      <c r="D63" s="10">
        <f>Ledger!E63</f>
        <v/>
      </c>
      <c r="E63" s="8">
        <f>Ledger!F63</f>
        <v/>
      </c>
      <c r="F63" s="9">
        <f>Ledger!G63</f>
        <v/>
      </c>
    </row>
    <row r="64">
      <c r="A64" s="9">
        <f>IF(Ledger!I64&lt;&gt;"Open","",IF(Ledger!F64&lt;=TODAY()+7,"Yes","-"))</f>
        <v/>
      </c>
      <c r="B64" s="9">
        <f>Ledger!C64</f>
        <v/>
      </c>
      <c r="C64" s="9">
        <f>Ledger!D64</f>
        <v/>
      </c>
      <c r="D64" s="10">
        <f>Ledger!E64</f>
        <v/>
      </c>
      <c r="E64" s="8">
        <f>Ledger!F64</f>
        <v/>
      </c>
      <c r="F64" s="9">
        <f>Ledger!G64</f>
        <v/>
      </c>
    </row>
    <row r="65">
      <c r="A65" s="9">
        <f>IF(Ledger!I65&lt;&gt;"Open","",IF(Ledger!F65&lt;=TODAY()+7,"Yes","-"))</f>
        <v/>
      </c>
      <c r="B65" s="9">
        <f>Ledger!C65</f>
        <v/>
      </c>
      <c r="C65" s="9">
        <f>Ledger!D65</f>
        <v/>
      </c>
      <c r="D65" s="10">
        <f>Ledger!E65</f>
        <v/>
      </c>
      <c r="E65" s="8">
        <f>Ledger!F65</f>
        <v/>
      </c>
      <c r="F65" s="9">
        <f>Ledger!G65</f>
        <v/>
      </c>
    </row>
    <row r="66">
      <c r="A66" s="9">
        <f>IF(Ledger!I66&lt;&gt;"Open","",IF(Ledger!F66&lt;=TODAY()+7,"Yes","-"))</f>
        <v/>
      </c>
      <c r="B66" s="9">
        <f>Ledger!C66</f>
        <v/>
      </c>
      <c r="C66" s="9">
        <f>Ledger!D66</f>
        <v/>
      </c>
      <c r="D66" s="10">
        <f>Ledger!E66</f>
        <v/>
      </c>
      <c r="E66" s="8">
        <f>Ledger!F66</f>
        <v/>
      </c>
      <c r="F66" s="9">
        <f>Ledger!G66</f>
        <v/>
      </c>
    </row>
    <row r="67">
      <c r="A67" s="9">
        <f>IF(Ledger!I67&lt;&gt;"Open","",IF(Ledger!F67&lt;=TODAY()+7,"Yes","-"))</f>
        <v/>
      </c>
      <c r="B67" s="9">
        <f>Ledger!C67</f>
        <v/>
      </c>
      <c r="C67" s="9">
        <f>Ledger!D67</f>
        <v/>
      </c>
      <c r="D67" s="10">
        <f>Ledger!E67</f>
        <v/>
      </c>
      <c r="E67" s="8">
        <f>Ledger!F67</f>
        <v/>
      </c>
      <c r="F67" s="9">
        <f>Ledger!G67</f>
        <v/>
      </c>
    </row>
    <row r="68">
      <c r="A68" s="9">
        <f>IF(Ledger!I68&lt;&gt;"Open","",IF(Ledger!F68&lt;=TODAY()+7,"Yes","-"))</f>
        <v/>
      </c>
      <c r="B68" s="9">
        <f>Ledger!C68</f>
        <v/>
      </c>
      <c r="C68" s="9">
        <f>Ledger!D68</f>
        <v/>
      </c>
      <c r="D68" s="10">
        <f>Ledger!E68</f>
        <v/>
      </c>
      <c r="E68" s="8">
        <f>Ledger!F68</f>
        <v/>
      </c>
      <c r="F68" s="9">
        <f>Ledger!G68</f>
        <v/>
      </c>
    </row>
    <row r="69">
      <c r="A69" s="9">
        <f>IF(Ledger!I69&lt;&gt;"Open","",IF(Ledger!F69&lt;=TODAY()+7,"Yes","-"))</f>
        <v/>
      </c>
      <c r="B69" s="9">
        <f>Ledger!C69</f>
        <v/>
      </c>
      <c r="C69" s="9">
        <f>Ledger!D69</f>
        <v/>
      </c>
      <c r="D69" s="10">
        <f>Ledger!E69</f>
        <v/>
      </c>
      <c r="E69" s="8">
        <f>Ledger!F69</f>
        <v/>
      </c>
      <c r="F69" s="9">
        <f>Ledger!G69</f>
        <v/>
      </c>
    </row>
    <row r="70">
      <c r="A70" s="9">
        <f>IF(Ledger!I70&lt;&gt;"Open","",IF(Ledger!F70&lt;=TODAY()+7,"Yes","-"))</f>
        <v/>
      </c>
      <c r="B70" s="9">
        <f>Ledger!C70</f>
        <v/>
      </c>
      <c r="C70" s="9">
        <f>Ledger!D70</f>
        <v/>
      </c>
      <c r="D70" s="10">
        <f>Ledger!E70</f>
        <v/>
      </c>
      <c r="E70" s="8">
        <f>Ledger!F70</f>
        <v/>
      </c>
      <c r="F70" s="9">
        <f>Ledger!G70</f>
        <v/>
      </c>
    </row>
    <row r="71">
      <c r="A71" s="9">
        <f>IF(Ledger!I71&lt;&gt;"Open","",IF(Ledger!F71&lt;=TODAY()+7,"Yes","-"))</f>
        <v/>
      </c>
      <c r="B71" s="9">
        <f>Ledger!C71</f>
        <v/>
      </c>
      <c r="C71" s="9">
        <f>Ledger!D71</f>
        <v/>
      </c>
      <c r="D71" s="10">
        <f>Ledger!E71</f>
        <v/>
      </c>
      <c r="E71" s="8">
        <f>Ledger!F71</f>
        <v/>
      </c>
      <c r="F71" s="9">
        <f>Ledger!G71</f>
        <v/>
      </c>
    </row>
    <row r="72">
      <c r="A72" s="9">
        <f>IF(Ledger!I72&lt;&gt;"Open","",IF(Ledger!F72&lt;=TODAY()+7,"Yes","-"))</f>
        <v/>
      </c>
      <c r="B72" s="9">
        <f>Ledger!C72</f>
        <v/>
      </c>
      <c r="C72" s="9">
        <f>Ledger!D72</f>
        <v/>
      </c>
      <c r="D72" s="10">
        <f>Ledger!E72</f>
        <v/>
      </c>
      <c r="E72" s="8">
        <f>Ledger!F72</f>
        <v/>
      </c>
      <c r="F72" s="9">
        <f>Ledger!G72</f>
        <v/>
      </c>
    </row>
    <row r="73">
      <c r="A73" s="9">
        <f>IF(Ledger!I73&lt;&gt;"Open","",IF(Ledger!F73&lt;=TODAY()+7,"Yes","-"))</f>
        <v/>
      </c>
      <c r="B73" s="9">
        <f>Ledger!C73</f>
        <v/>
      </c>
      <c r="C73" s="9">
        <f>Ledger!D73</f>
        <v/>
      </c>
      <c r="D73" s="10">
        <f>Ledger!E73</f>
        <v/>
      </c>
      <c r="E73" s="8">
        <f>Ledger!F73</f>
        <v/>
      </c>
      <c r="F73" s="9">
        <f>Ledger!G73</f>
        <v/>
      </c>
    </row>
    <row r="74">
      <c r="A74" s="9">
        <f>IF(Ledger!I74&lt;&gt;"Open","",IF(Ledger!F74&lt;=TODAY()+7,"Yes","-"))</f>
        <v/>
      </c>
      <c r="B74" s="9">
        <f>Ledger!C74</f>
        <v/>
      </c>
      <c r="C74" s="9">
        <f>Ledger!D74</f>
        <v/>
      </c>
      <c r="D74" s="10">
        <f>Ledger!E74</f>
        <v/>
      </c>
      <c r="E74" s="8">
        <f>Ledger!F74</f>
        <v/>
      </c>
      <c r="F74" s="9">
        <f>Ledger!G74</f>
        <v/>
      </c>
    </row>
    <row r="75">
      <c r="A75" s="9">
        <f>IF(Ledger!I75&lt;&gt;"Open","",IF(Ledger!F75&lt;=TODAY()+7,"Yes","-"))</f>
        <v/>
      </c>
      <c r="B75" s="9">
        <f>Ledger!C75</f>
        <v/>
      </c>
      <c r="C75" s="9">
        <f>Ledger!D75</f>
        <v/>
      </c>
      <c r="D75" s="10">
        <f>Ledger!E75</f>
        <v/>
      </c>
      <c r="E75" s="8">
        <f>Ledger!F75</f>
        <v/>
      </c>
      <c r="F75" s="9">
        <f>Ledger!G75</f>
        <v/>
      </c>
    </row>
    <row r="76">
      <c r="A76" s="9">
        <f>IF(Ledger!I76&lt;&gt;"Open","",IF(Ledger!F76&lt;=TODAY()+7,"Yes","-"))</f>
        <v/>
      </c>
      <c r="B76" s="9">
        <f>Ledger!C76</f>
        <v/>
      </c>
      <c r="C76" s="9">
        <f>Ledger!D76</f>
        <v/>
      </c>
      <c r="D76" s="10">
        <f>Ledger!E76</f>
        <v/>
      </c>
      <c r="E76" s="8">
        <f>Ledger!F76</f>
        <v/>
      </c>
      <c r="F76" s="9">
        <f>Ledger!G76</f>
        <v/>
      </c>
    </row>
    <row r="77">
      <c r="A77" s="9">
        <f>IF(Ledger!I77&lt;&gt;"Open","",IF(Ledger!F77&lt;=TODAY()+7,"Yes","-"))</f>
        <v/>
      </c>
      <c r="B77" s="9">
        <f>Ledger!C77</f>
        <v/>
      </c>
      <c r="C77" s="9">
        <f>Ledger!D77</f>
        <v/>
      </c>
      <c r="D77" s="10">
        <f>Ledger!E77</f>
        <v/>
      </c>
      <c r="E77" s="8">
        <f>Ledger!F77</f>
        <v/>
      </c>
      <c r="F77" s="9">
        <f>Ledger!G77</f>
        <v/>
      </c>
    </row>
    <row r="78">
      <c r="A78" s="9">
        <f>IF(Ledger!I78&lt;&gt;"Open","",IF(Ledger!F78&lt;=TODAY()+7,"Yes","-"))</f>
        <v/>
      </c>
      <c r="B78" s="9">
        <f>Ledger!C78</f>
        <v/>
      </c>
      <c r="C78" s="9">
        <f>Ledger!D78</f>
        <v/>
      </c>
      <c r="D78" s="10">
        <f>Ledger!E78</f>
        <v/>
      </c>
      <c r="E78" s="8">
        <f>Ledger!F78</f>
        <v/>
      </c>
      <c r="F78" s="9">
        <f>Ledger!G78</f>
        <v/>
      </c>
    </row>
    <row r="79">
      <c r="A79" s="9">
        <f>IF(Ledger!I79&lt;&gt;"Open","",IF(Ledger!F79&lt;=TODAY()+7,"Yes","-"))</f>
        <v/>
      </c>
      <c r="B79" s="9">
        <f>Ledger!C79</f>
        <v/>
      </c>
      <c r="C79" s="9">
        <f>Ledger!D79</f>
        <v/>
      </c>
      <c r="D79" s="10">
        <f>Ledger!E79</f>
        <v/>
      </c>
      <c r="E79" s="8">
        <f>Ledger!F79</f>
        <v/>
      </c>
      <c r="F79" s="9">
        <f>Ledger!G79</f>
        <v/>
      </c>
    </row>
    <row r="80">
      <c r="A80" s="9">
        <f>IF(Ledger!I80&lt;&gt;"Open","",IF(Ledger!F80&lt;=TODAY()+7,"Yes","-"))</f>
        <v/>
      </c>
      <c r="B80" s="9">
        <f>Ledger!C80</f>
        <v/>
      </c>
      <c r="C80" s="9">
        <f>Ledger!D80</f>
        <v/>
      </c>
      <c r="D80" s="10">
        <f>Ledger!E80</f>
        <v/>
      </c>
      <c r="E80" s="8">
        <f>Ledger!F80</f>
        <v/>
      </c>
      <c r="F80" s="9">
        <f>Ledger!G80</f>
        <v/>
      </c>
    </row>
    <row r="81">
      <c r="A81" s="9">
        <f>IF(Ledger!I81&lt;&gt;"Open","",IF(Ledger!F81&lt;=TODAY()+7,"Yes","-"))</f>
        <v/>
      </c>
      <c r="B81" s="9">
        <f>Ledger!C81</f>
        <v/>
      </c>
      <c r="C81" s="9">
        <f>Ledger!D81</f>
        <v/>
      </c>
      <c r="D81" s="10">
        <f>Ledger!E81</f>
        <v/>
      </c>
      <c r="E81" s="8">
        <f>Ledger!F81</f>
        <v/>
      </c>
      <c r="F81" s="9">
        <f>Ledger!G81</f>
        <v/>
      </c>
    </row>
    <row r="82">
      <c r="A82" s="9">
        <f>IF(Ledger!I82&lt;&gt;"Open","",IF(Ledger!F82&lt;=TODAY()+7,"Yes","-"))</f>
        <v/>
      </c>
      <c r="B82" s="9">
        <f>Ledger!C82</f>
        <v/>
      </c>
      <c r="C82" s="9">
        <f>Ledger!D82</f>
        <v/>
      </c>
      <c r="D82" s="10">
        <f>Ledger!E82</f>
        <v/>
      </c>
      <c r="E82" s="8">
        <f>Ledger!F82</f>
        <v/>
      </c>
      <c r="F82" s="9">
        <f>Ledger!G82</f>
        <v/>
      </c>
    </row>
    <row r="83">
      <c r="A83" s="9">
        <f>IF(Ledger!I83&lt;&gt;"Open","",IF(Ledger!F83&lt;=TODAY()+7,"Yes","-"))</f>
        <v/>
      </c>
      <c r="B83" s="9">
        <f>Ledger!C83</f>
        <v/>
      </c>
      <c r="C83" s="9">
        <f>Ledger!D83</f>
        <v/>
      </c>
      <c r="D83" s="10">
        <f>Ledger!E83</f>
        <v/>
      </c>
      <c r="E83" s="8">
        <f>Ledger!F83</f>
        <v/>
      </c>
      <c r="F83" s="9">
        <f>Ledger!G83</f>
        <v/>
      </c>
    </row>
    <row r="84">
      <c r="A84" s="9">
        <f>IF(Ledger!I84&lt;&gt;"Open","",IF(Ledger!F84&lt;=TODAY()+7,"Yes","-"))</f>
        <v/>
      </c>
      <c r="B84" s="9">
        <f>Ledger!C84</f>
        <v/>
      </c>
      <c r="C84" s="9">
        <f>Ledger!D84</f>
        <v/>
      </c>
      <c r="D84" s="10">
        <f>Ledger!E84</f>
        <v/>
      </c>
      <c r="E84" s="8">
        <f>Ledger!F84</f>
        <v/>
      </c>
      <c r="F84" s="9">
        <f>Ledger!G84</f>
        <v/>
      </c>
    </row>
    <row r="85">
      <c r="A85" s="9">
        <f>IF(Ledger!I85&lt;&gt;"Open","",IF(Ledger!F85&lt;=TODAY()+7,"Yes","-"))</f>
        <v/>
      </c>
      <c r="B85" s="9">
        <f>Ledger!C85</f>
        <v/>
      </c>
      <c r="C85" s="9">
        <f>Ledger!D85</f>
        <v/>
      </c>
      <c r="D85" s="10">
        <f>Ledger!E85</f>
        <v/>
      </c>
      <c r="E85" s="8">
        <f>Ledger!F85</f>
        <v/>
      </c>
      <c r="F85" s="9">
        <f>Ledger!G85</f>
        <v/>
      </c>
    </row>
    <row r="86">
      <c r="A86" s="9">
        <f>IF(Ledger!I86&lt;&gt;"Open","",IF(Ledger!F86&lt;=TODAY()+7,"Yes","-"))</f>
        <v/>
      </c>
      <c r="B86" s="9">
        <f>Ledger!C86</f>
        <v/>
      </c>
      <c r="C86" s="9">
        <f>Ledger!D86</f>
        <v/>
      </c>
      <c r="D86" s="10">
        <f>Ledger!E86</f>
        <v/>
      </c>
      <c r="E86" s="8">
        <f>Ledger!F86</f>
        <v/>
      </c>
      <c r="F86" s="9">
        <f>Ledger!G86</f>
        <v/>
      </c>
    </row>
    <row r="87">
      <c r="A87" s="9">
        <f>IF(Ledger!I87&lt;&gt;"Open","",IF(Ledger!F87&lt;=TODAY()+7,"Yes","-"))</f>
        <v/>
      </c>
      <c r="B87" s="9">
        <f>Ledger!C87</f>
        <v/>
      </c>
      <c r="C87" s="9">
        <f>Ledger!D87</f>
        <v/>
      </c>
      <c r="D87" s="10">
        <f>Ledger!E87</f>
        <v/>
      </c>
      <c r="E87" s="8">
        <f>Ledger!F87</f>
        <v/>
      </c>
      <c r="F87" s="9">
        <f>Ledger!G87</f>
        <v/>
      </c>
    </row>
    <row r="88">
      <c r="A88" s="9">
        <f>IF(Ledger!I88&lt;&gt;"Open","",IF(Ledger!F88&lt;=TODAY()+7,"Yes","-"))</f>
        <v/>
      </c>
      <c r="B88" s="9">
        <f>Ledger!C88</f>
        <v/>
      </c>
      <c r="C88" s="9">
        <f>Ledger!D88</f>
        <v/>
      </c>
      <c r="D88" s="10">
        <f>Ledger!E88</f>
        <v/>
      </c>
      <c r="E88" s="8">
        <f>Ledger!F88</f>
        <v/>
      </c>
      <c r="F88" s="9">
        <f>Ledger!G88</f>
        <v/>
      </c>
    </row>
    <row r="89">
      <c r="A89" s="9">
        <f>IF(Ledger!I89&lt;&gt;"Open","",IF(Ledger!F89&lt;=TODAY()+7,"Yes","-"))</f>
        <v/>
      </c>
      <c r="B89" s="9">
        <f>Ledger!C89</f>
        <v/>
      </c>
      <c r="C89" s="9">
        <f>Ledger!D89</f>
        <v/>
      </c>
      <c r="D89" s="10">
        <f>Ledger!E89</f>
        <v/>
      </c>
      <c r="E89" s="8">
        <f>Ledger!F89</f>
        <v/>
      </c>
      <c r="F89" s="9">
        <f>Ledger!G89</f>
        <v/>
      </c>
    </row>
    <row r="90">
      <c r="A90" s="9">
        <f>IF(Ledger!I90&lt;&gt;"Open","",IF(Ledger!F90&lt;=TODAY()+7,"Yes","-"))</f>
        <v/>
      </c>
      <c r="B90" s="9">
        <f>Ledger!C90</f>
        <v/>
      </c>
      <c r="C90" s="9">
        <f>Ledger!D90</f>
        <v/>
      </c>
      <c r="D90" s="10">
        <f>Ledger!E90</f>
        <v/>
      </c>
      <c r="E90" s="8">
        <f>Ledger!F90</f>
        <v/>
      </c>
      <c r="F90" s="9">
        <f>Ledger!G90</f>
        <v/>
      </c>
    </row>
    <row r="91">
      <c r="A91" s="9">
        <f>IF(Ledger!I91&lt;&gt;"Open","",IF(Ledger!F91&lt;=TODAY()+7,"Yes","-"))</f>
        <v/>
      </c>
      <c r="B91" s="9">
        <f>Ledger!C91</f>
        <v/>
      </c>
      <c r="C91" s="9">
        <f>Ledger!D91</f>
        <v/>
      </c>
      <c r="D91" s="10">
        <f>Ledger!E91</f>
        <v/>
      </c>
      <c r="E91" s="8">
        <f>Ledger!F91</f>
        <v/>
      </c>
      <c r="F91" s="9">
        <f>Ledger!G91</f>
        <v/>
      </c>
    </row>
    <row r="92">
      <c r="A92" s="9">
        <f>IF(Ledger!I92&lt;&gt;"Open","",IF(Ledger!F92&lt;=TODAY()+7,"Yes","-"))</f>
        <v/>
      </c>
      <c r="B92" s="9">
        <f>Ledger!C92</f>
        <v/>
      </c>
      <c r="C92" s="9">
        <f>Ledger!D92</f>
        <v/>
      </c>
      <c r="D92" s="10">
        <f>Ledger!E92</f>
        <v/>
      </c>
      <c r="E92" s="8">
        <f>Ledger!F92</f>
        <v/>
      </c>
      <c r="F92" s="9">
        <f>Ledger!G92</f>
        <v/>
      </c>
    </row>
    <row r="93">
      <c r="A93" s="9">
        <f>IF(Ledger!I93&lt;&gt;"Open","",IF(Ledger!F93&lt;=TODAY()+7,"Yes","-"))</f>
        <v/>
      </c>
      <c r="B93" s="9">
        <f>Ledger!C93</f>
        <v/>
      </c>
      <c r="C93" s="9">
        <f>Ledger!D93</f>
        <v/>
      </c>
      <c r="D93" s="10">
        <f>Ledger!E93</f>
        <v/>
      </c>
      <c r="E93" s="8">
        <f>Ledger!F93</f>
        <v/>
      </c>
      <c r="F93" s="9">
        <f>Ledger!G93</f>
        <v/>
      </c>
    </row>
    <row r="94">
      <c r="A94" s="9">
        <f>IF(Ledger!I94&lt;&gt;"Open","",IF(Ledger!F94&lt;=TODAY()+7,"Yes","-"))</f>
        <v/>
      </c>
      <c r="B94" s="9">
        <f>Ledger!C94</f>
        <v/>
      </c>
      <c r="C94" s="9">
        <f>Ledger!D94</f>
        <v/>
      </c>
      <c r="D94" s="10">
        <f>Ledger!E94</f>
        <v/>
      </c>
      <c r="E94" s="8">
        <f>Ledger!F94</f>
        <v/>
      </c>
      <c r="F94" s="9">
        <f>Ledger!G94</f>
        <v/>
      </c>
    </row>
    <row r="95">
      <c r="A95" s="9">
        <f>IF(Ledger!I95&lt;&gt;"Open","",IF(Ledger!F95&lt;=TODAY()+7,"Yes","-"))</f>
        <v/>
      </c>
      <c r="B95" s="9">
        <f>Ledger!C95</f>
        <v/>
      </c>
      <c r="C95" s="9">
        <f>Ledger!D95</f>
        <v/>
      </c>
      <c r="D95" s="10">
        <f>Ledger!E95</f>
        <v/>
      </c>
      <c r="E95" s="8">
        <f>Ledger!F95</f>
        <v/>
      </c>
      <c r="F95" s="9">
        <f>Ledger!G95</f>
        <v/>
      </c>
    </row>
    <row r="96">
      <c r="A96" s="9">
        <f>IF(Ledger!I96&lt;&gt;"Open","",IF(Ledger!F96&lt;=TODAY()+7,"Yes","-"))</f>
        <v/>
      </c>
      <c r="B96" s="9">
        <f>Ledger!C96</f>
        <v/>
      </c>
      <c r="C96" s="9">
        <f>Ledger!D96</f>
        <v/>
      </c>
      <c r="D96" s="10">
        <f>Ledger!E96</f>
        <v/>
      </c>
      <c r="E96" s="8">
        <f>Ledger!F96</f>
        <v/>
      </c>
      <c r="F96" s="9">
        <f>Ledger!G96</f>
        <v/>
      </c>
    </row>
    <row r="97">
      <c r="A97" s="9">
        <f>IF(Ledger!I97&lt;&gt;"Open","",IF(Ledger!F97&lt;=TODAY()+7,"Yes","-"))</f>
        <v/>
      </c>
      <c r="B97" s="9">
        <f>Ledger!C97</f>
        <v/>
      </c>
      <c r="C97" s="9">
        <f>Ledger!D97</f>
        <v/>
      </c>
      <c r="D97" s="10">
        <f>Ledger!E97</f>
        <v/>
      </c>
      <c r="E97" s="8">
        <f>Ledger!F97</f>
        <v/>
      </c>
      <c r="F97" s="9">
        <f>Ledger!G97</f>
        <v/>
      </c>
    </row>
    <row r="98">
      <c r="A98" s="9">
        <f>IF(Ledger!I98&lt;&gt;"Open","",IF(Ledger!F98&lt;=TODAY()+7,"Yes","-"))</f>
        <v/>
      </c>
      <c r="B98" s="9">
        <f>Ledger!C98</f>
        <v/>
      </c>
      <c r="C98" s="9">
        <f>Ledger!D98</f>
        <v/>
      </c>
      <c r="D98" s="10">
        <f>Ledger!E98</f>
        <v/>
      </c>
      <c r="E98" s="8">
        <f>Ledger!F98</f>
        <v/>
      </c>
      <c r="F98" s="9">
        <f>Ledger!G98</f>
        <v/>
      </c>
    </row>
    <row r="99">
      <c r="A99" s="9">
        <f>IF(Ledger!I99&lt;&gt;"Open","",IF(Ledger!F99&lt;=TODAY()+7,"Yes","-"))</f>
        <v/>
      </c>
      <c r="B99" s="9">
        <f>Ledger!C99</f>
        <v/>
      </c>
      <c r="C99" s="9">
        <f>Ledger!D99</f>
        <v/>
      </c>
      <c r="D99" s="10">
        <f>Ledger!E99</f>
        <v/>
      </c>
      <c r="E99" s="8">
        <f>Ledger!F99</f>
        <v/>
      </c>
      <c r="F99" s="9">
        <f>Ledger!G99</f>
        <v/>
      </c>
    </row>
    <row r="100">
      <c r="A100" s="9">
        <f>IF(Ledger!I100&lt;&gt;"Open","",IF(Ledger!F100&lt;=TODAY()+7,"Yes","-"))</f>
        <v/>
      </c>
      <c r="B100" s="9">
        <f>Ledger!C100</f>
        <v/>
      </c>
      <c r="C100" s="9">
        <f>Ledger!D100</f>
        <v/>
      </c>
      <c r="D100" s="10">
        <f>Ledger!E100</f>
        <v/>
      </c>
      <c r="E100" s="8">
        <f>Ledger!F100</f>
        <v/>
      </c>
      <c r="F100" s="9">
        <f>Ledger!G100</f>
        <v/>
      </c>
    </row>
    <row r="101">
      <c r="A101" s="9">
        <f>IF(Ledger!I101&lt;&gt;"Open","",IF(Ledger!F101&lt;=TODAY()+7,"Yes","-"))</f>
        <v/>
      </c>
      <c r="B101" s="9">
        <f>Ledger!C101</f>
        <v/>
      </c>
      <c r="C101" s="9">
        <f>Ledger!D101</f>
        <v/>
      </c>
      <c r="D101" s="10">
        <f>Ledger!E101</f>
        <v/>
      </c>
      <c r="E101" s="8">
        <f>Ledger!F101</f>
        <v/>
      </c>
      <c r="F101" s="9">
        <f>Ledger!G101</f>
        <v/>
      </c>
    </row>
    <row r="102">
      <c r="A102" s="9">
        <f>IF(Ledger!I102&lt;&gt;"Open","",IF(Ledger!F102&lt;=TODAY()+7,"Yes","-"))</f>
        <v/>
      </c>
      <c r="B102" s="9">
        <f>Ledger!C102</f>
        <v/>
      </c>
      <c r="C102" s="9">
        <f>Ledger!D102</f>
        <v/>
      </c>
      <c r="D102" s="10">
        <f>Ledger!E102</f>
        <v/>
      </c>
      <c r="E102" s="8">
        <f>Ledger!F102</f>
        <v/>
      </c>
      <c r="F102" s="9">
        <f>Ledger!G102</f>
        <v/>
      </c>
    </row>
    <row r="103">
      <c r="A103" s="9">
        <f>IF(Ledger!I103&lt;&gt;"Open","",IF(Ledger!F103&lt;=TODAY()+7,"Yes","-"))</f>
        <v/>
      </c>
      <c r="B103" s="9">
        <f>Ledger!C103</f>
        <v/>
      </c>
      <c r="C103" s="9">
        <f>Ledger!D103</f>
        <v/>
      </c>
      <c r="D103" s="10">
        <f>Ledger!E103</f>
        <v/>
      </c>
      <c r="E103" s="8">
        <f>Ledger!F103</f>
        <v/>
      </c>
      <c r="F103" s="9">
        <f>Ledger!G103</f>
        <v/>
      </c>
    </row>
    <row r="104">
      <c r="A104" s="9">
        <f>IF(Ledger!I104&lt;&gt;"Open","",IF(Ledger!F104&lt;=TODAY()+7,"Yes","-"))</f>
        <v/>
      </c>
      <c r="B104" s="9">
        <f>Ledger!C104</f>
        <v/>
      </c>
      <c r="C104" s="9">
        <f>Ledger!D104</f>
        <v/>
      </c>
      <c r="D104" s="10">
        <f>Ledger!E104</f>
        <v/>
      </c>
      <c r="E104" s="8">
        <f>Ledger!F104</f>
        <v/>
      </c>
      <c r="F104" s="9">
        <f>Ledger!G104</f>
        <v/>
      </c>
    </row>
    <row r="105">
      <c r="A105" s="9">
        <f>IF(Ledger!I105&lt;&gt;"Open","",IF(Ledger!F105&lt;=TODAY()+7,"Yes","-"))</f>
        <v/>
      </c>
      <c r="B105" s="9">
        <f>Ledger!C105</f>
        <v/>
      </c>
      <c r="C105" s="9">
        <f>Ledger!D105</f>
        <v/>
      </c>
      <c r="D105" s="10">
        <f>Ledger!E105</f>
        <v/>
      </c>
      <c r="E105" s="8">
        <f>Ledger!F105</f>
        <v/>
      </c>
      <c r="F105" s="9">
        <f>Ledger!G105</f>
        <v/>
      </c>
    </row>
    <row r="106">
      <c r="A106" s="9">
        <f>IF(Ledger!I106&lt;&gt;"Open","",IF(Ledger!F106&lt;=TODAY()+7,"Yes","-"))</f>
        <v/>
      </c>
      <c r="B106" s="9">
        <f>Ledger!C106</f>
        <v/>
      </c>
      <c r="C106" s="9">
        <f>Ledger!D106</f>
        <v/>
      </c>
      <c r="D106" s="10">
        <f>Ledger!E106</f>
        <v/>
      </c>
      <c r="E106" s="8">
        <f>Ledger!F106</f>
        <v/>
      </c>
      <c r="F106" s="9">
        <f>Ledger!G106</f>
        <v/>
      </c>
    </row>
    <row r="107">
      <c r="A107" s="9">
        <f>IF(Ledger!I107&lt;&gt;"Open","",IF(Ledger!F107&lt;=TODAY()+7,"Yes","-"))</f>
        <v/>
      </c>
      <c r="B107" s="9">
        <f>Ledger!C107</f>
        <v/>
      </c>
      <c r="C107" s="9">
        <f>Ledger!D107</f>
        <v/>
      </c>
      <c r="D107" s="10">
        <f>Ledger!E107</f>
        <v/>
      </c>
      <c r="E107" s="8">
        <f>Ledger!F107</f>
        <v/>
      </c>
      <c r="F107" s="9">
        <f>Ledger!G107</f>
        <v/>
      </c>
    </row>
    <row r="108">
      <c r="A108" s="9">
        <f>IF(Ledger!I108&lt;&gt;"Open","",IF(Ledger!F108&lt;=TODAY()+7,"Yes","-"))</f>
        <v/>
      </c>
      <c r="B108" s="9">
        <f>Ledger!C108</f>
        <v/>
      </c>
      <c r="C108" s="9">
        <f>Ledger!D108</f>
        <v/>
      </c>
      <c r="D108" s="10">
        <f>Ledger!E108</f>
        <v/>
      </c>
      <c r="E108" s="8">
        <f>Ledger!F108</f>
        <v/>
      </c>
      <c r="F108" s="9">
        <f>Ledger!G108</f>
        <v/>
      </c>
    </row>
    <row r="109">
      <c r="A109" s="9">
        <f>IF(Ledger!I109&lt;&gt;"Open","",IF(Ledger!F109&lt;=TODAY()+7,"Yes","-"))</f>
        <v/>
      </c>
      <c r="B109" s="9">
        <f>Ledger!C109</f>
        <v/>
      </c>
      <c r="C109" s="9">
        <f>Ledger!D109</f>
        <v/>
      </c>
      <c r="D109" s="10">
        <f>Ledger!E109</f>
        <v/>
      </c>
      <c r="E109" s="8">
        <f>Ledger!F109</f>
        <v/>
      </c>
      <c r="F109" s="9">
        <f>Ledger!G109</f>
        <v/>
      </c>
    </row>
    <row r="110">
      <c r="A110" s="9">
        <f>IF(Ledger!I110&lt;&gt;"Open","",IF(Ledger!F110&lt;=TODAY()+7,"Yes","-"))</f>
        <v/>
      </c>
      <c r="B110" s="9">
        <f>Ledger!C110</f>
        <v/>
      </c>
      <c r="C110" s="9">
        <f>Ledger!D110</f>
        <v/>
      </c>
      <c r="D110" s="10">
        <f>Ledger!E110</f>
        <v/>
      </c>
      <c r="E110" s="8">
        <f>Ledger!F110</f>
        <v/>
      </c>
      <c r="F110" s="9">
        <f>Ledger!G110</f>
        <v/>
      </c>
    </row>
    <row r="111">
      <c r="A111" s="9">
        <f>IF(Ledger!I111&lt;&gt;"Open","",IF(Ledger!F111&lt;=TODAY()+7,"Yes","-"))</f>
        <v/>
      </c>
      <c r="B111" s="9">
        <f>Ledger!C111</f>
        <v/>
      </c>
      <c r="C111" s="9">
        <f>Ledger!D111</f>
        <v/>
      </c>
      <c r="D111" s="10">
        <f>Ledger!E111</f>
        <v/>
      </c>
      <c r="E111" s="8">
        <f>Ledger!F111</f>
        <v/>
      </c>
      <c r="F111" s="9">
        <f>Ledger!G111</f>
        <v/>
      </c>
    </row>
    <row r="112">
      <c r="A112" s="9">
        <f>IF(Ledger!I112&lt;&gt;"Open","",IF(Ledger!F112&lt;=TODAY()+7,"Yes","-"))</f>
        <v/>
      </c>
      <c r="B112" s="9">
        <f>Ledger!C112</f>
        <v/>
      </c>
      <c r="C112" s="9">
        <f>Ledger!D112</f>
        <v/>
      </c>
      <c r="D112" s="10">
        <f>Ledger!E112</f>
        <v/>
      </c>
      <c r="E112" s="8">
        <f>Ledger!F112</f>
        <v/>
      </c>
      <c r="F112" s="9">
        <f>Ledger!G112</f>
        <v/>
      </c>
    </row>
    <row r="113">
      <c r="A113" s="9">
        <f>IF(Ledger!I113&lt;&gt;"Open","",IF(Ledger!F113&lt;=TODAY()+7,"Yes","-"))</f>
        <v/>
      </c>
      <c r="B113" s="9">
        <f>Ledger!C113</f>
        <v/>
      </c>
      <c r="C113" s="9">
        <f>Ledger!D113</f>
        <v/>
      </c>
      <c r="D113" s="10">
        <f>Ledger!E113</f>
        <v/>
      </c>
      <c r="E113" s="8">
        <f>Ledger!F113</f>
        <v/>
      </c>
      <c r="F113" s="9">
        <f>Ledger!G113</f>
        <v/>
      </c>
    </row>
    <row r="114">
      <c r="A114" s="9">
        <f>IF(Ledger!I114&lt;&gt;"Open","",IF(Ledger!F114&lt;=TODAY()+7,"Yes","-"))</f>
        <v/>
      </c>
      <c r="B114" s="9">
        <f>Ledger!C114</f>
        <v/>
      </c>
      <c r="C114" s="9">
        <f>Ledger!D114</f>
        <v/>
      </c>
      <c r="D114" s="10">
        <f>Ledger!E114</f>
        <v/>
      </c>
      <c r="E114" s="8">
        <f>Ledger!F114</f>
        <v/>
      </c>
      <c r="F114" s="9">
        <f>Ledger!G114</f>
        <v/>
      </c>
    </row>
    <row r="115">
      <c r="A115" s="9">
        <f>IF(Ledger!I115&lt;&gt;"Open","",IF(Ledger!F115&lt;=TODAY()+7,"Yes","-"))</f>
        <v/>
      </c>
      <c r="B115" s="9">
        <f>Ledger!C115</f>
        <v/>
      </c>
      <c r="C115" s="9">
        <f>Ledger!D115</f>
        <v/>
      </c>
      <c r="D115" s="10">
        <f>Ledger!E115</f>
        <v/>
      </c>
      <c r="E115" s="8">
        <f>Ledger!F115</f>
        <v/>
      </c>
      <c r="F115" s="9">
        <f>Ledger!G115</f>
        <v/>
      </c>
    </row>
    <row r="116">
      <c r="A116" s="9">
        <f>IF(Ledger!I116&lt;&gt;"Open","",IF(Ledger!F116&lt;=TODAY()+7,"Yes","-"))</f>
        <v/>
      </c>
      <c r="B116" s="9">
        <f>Ledger!C116</f>
        <v/>
      </c>
      <c r="C116" s="9">
        <f>Ledger!D116</f>
        <v/>
      </c>
      <c r="D116" s="10">
        <f>Ledger!E116</f>
        <v/>
      </c>
      <c r="E116" s="8">
        <f>Ledger!F116</f>
        <v/>
      </c>
      <c r="F116" s="9">
        <f>Ledger!G116</f>
        <v/>
      </c>
    </row>
    <row r="117">
      <c r="A117" s="9">
        <f>IF(Ledger!I117&lt;&gt;"Open","",IF(Ledger!F117&lt;=TODAY()+7,"Yes","-"))</f>
        <v/>
      </c>
      <c r="B117" s="9">
        <f>Ledger!C117</f>
        <v/>
      </c>
      <c r="C117" s="9">
        <f>Ledger!D117</f>
        <v/>
      </c>
      <c r="D117" s="10">
        <f>Ledger!E117</f>
        <v/>
      </c>
      <c r="E117" s="8">
        <f>Ledger!F117</f>
        <v/>
      </c>
      <c r="F117" s="9">
        <f>Ledger!G117</f>
        <v/>
      </c>
    </row>
    <row r="118">
      <c r="A118" s="9">
        <f>IF(Ledger!I118&lt;&gt;"Open","",IF(Ledger!F118&lt;=TODAY()+7,"Yes","-"))</f>
        <v/>
      </c>
      <c r="B118" s="9">
        <f>Ledger!C118</f>
        <v/>
      </c>
      <c r="C118" s="9">
        <f>Ledger!D118</f>
        <v/>
      </c>
      <c r="D118" s="10">
        <f>Ledger!E118</f>
        <v/>
      </c>
      <c r="E118" s="8">
        <f>Ledger!F118</f>
        <v/>
      </c>
      <c r="F118" s="9">
        <f>Ledger!G118</f>
        <v/>
      </c>
    </row>
    <row r="119">
      <c r="A119" s="9">
        <f>IF(Ledger!I119&lt;&gt;"Open","",IF(Ledger!F119&lt;=TODAY()+7,"Yes","-"))</f>
        <v/>
      </c>
      <c r="B119" s="9">
        <f>Ledger!C119</f>
        <v/>
      </c>
      <c r="C119" s="9">
        <f>Ledger!D119</f>
        <v/>
      </c>
      <c r="D119" s="10">
        <f>Ledger!E119</f>
        <v/>
      </c>
      <c r="E119" s="8">
        <f>Ledger!F119</f>
        <v/>
      </c>
      <c r="F119" s="9">
        <f>Ledger!G119</f>
        <v/>
      </c>
    </row>
    <row r="120">
      <c r="A120" s="9">
        <f>IF(Ledger!I120&lt;&gt;"Open","",IF(Ledger!F120&lt;=TODAY()+7,"Yes","-"))</f>
        <v/>
      </c>
      <c r="B120" s="9">
        <f>Ledger!C120</f>
        <v/>
      </c>
      <c r="C120" s="9">
        <f>Ledger!D120</f>
        <v/>
      </c>
      <c r="D120" s="10">
        <f>Ledger!E120</f>
        <v/>
      </c>
      <c r="E120" s="8">
        <f>Ledger!F120</f>
        <v/>
      </c>
      <c r="F120" s="9">
        <f>Ledger!G120</f>
        <v/>
      </c>
    </row>
    <row r="121">
      <c r="A121" s="9">
        <f>IF(Ledger!I121&lt;&gt;"Open","",IF(Ledger!F121&lt;=TODAY()+7,"Yes","-"))</f>
        <v/>
      </c>
      <c r="B121" s="9">
        <f>Ledger!C121</f>
        <v/>
      </c>
      <c r="C121" s="9">
        <f>Ledger!D121</f>
        <v/>
      </c>
      <c r="D121" s="10">
        <f>Ledger!E121</f>
        <v/>
      </c>
      <c r="E121" s="8">
        <f>Ledger!F121</f>
        <v/>
      </c>
      <c r="F121" s="9">
        <f>Ledger!G121</f>
        <v/>
      </c>
    </row>
    <row r="122">
      <c r="A122" s="9">
        <f>IF(Ledger!I122&lt;&gt;"Open","",IF(Ledger!F122&lt;=TODAY()+7,"Yes","-"))</f>
        <v/>
      </c>
      <c r="B122" s="9">
        <f>Ledger!C122</f>
        <v/>
      </c>
      <c r="C122" s="9">
        <f>Ledger!D122</f>
        <v/>
      </c>
      <c r="D122" s="10">
        <f>Ledger!E122</f>
        <v/>
      </c>
      <c r="E122" s="8">
        <f>Ledger!F122</f>
        <v/>
      </c>
      <c r="F122" s="9">
        <f>Ledger!G122</f>
        <v/>
      </c>
    </row>
    <row r="123">
      <c r="A123" s="9">
        <f>IF(Ledger!I123&lt;&gt;"Open","",IF(Ledger!F123&lt;=TODAY()+7,"Yes","-"))</f>
        <v/>
      </c>
      <c r="B123" s="9">
        <f>Ledger!C123</f>
        <v/>
      </c>
      <c r="C123" s="9">
        <f>Ledger!D123</f>
        <v/>
      </c>
      <c r="D123" s="10">
        <f>Ledger!E123</f>
        <v/>
      </c>
      <c r="E123" s="8">
        <f>Ledger!F123</f>
        <v/>
      </c>
      <c r="F123" s="9">
        <f>Ledger!G123</f>
        <v/>
      </c>
    </row>
    <row r="124">
      <c r="A124" s="9">
        <f>IF(Ledger!I124&lt;&gt;"Open","",IF(Ledger!F124&lt;=TODAY()+7,"Yes","-"))</f>
        <v/>
      </c>
      <c r="B124" s="9">
        <f>Ledger!C124</f>
        <v/>
      </c>
      <c r="C124" s="9">
        <f>Ledger!D124</f>
        <v/>
      </c>
      <c r="D124" s="10">
        <f>Ledger!E124</f>
        <v/>
      </c>
      <c r="E124" s="8">
        <f>Ledger!F124</f>
        <v/>
      </c>
      <c r="F124" s="9">
        <f>Ledger!G124</f>
        <v/>
      </c>
    </row>
    <row r="125">
      <c r="A125" s="9">
        <f>IF(Ledger!I125&lt;&gt;"Open","",IF(Ledger!F125&lt;=TODAY()+7,"Yes","-"))</f>
        <v/>
      </c>
      <c r="B125" s="9">
        <f>Ledger!C125</f>
        <v/>
      </c>
      <c r="C125" s="9">
        <f>Ledger!D125</f>
        <v/>
      </c>
      <c r="D125" s="10">
        <f>Ledger!E125</f>
        <v/>
      </c>
      <c r="E125" s="8">
        <f>Ledger!F125</f>
        <v/>
      </c>
      <c r="F125" s="9">
        <f>Ledger!G125</f>
        <v/>
      </c>
    </row>
    <row r="126">
      <c r="A126" s="9">
        <f>IF(Ledger!I126&lt;&gt;"Open","",IF(Ledger!F126&lt;=TODAY()+7,"Yes","-"))</f>
        <v/>
      </c>
      <c r="B126" s="9">
        <f>Ledger!C126</f>
        <v/>
      </c>
      <c r="C126" s="9">
        <f>Ledger!D126</f>
        <v/>
      </c>
      <c r="D126" s="10">
        <f>Ledger!E126</f>
        <v/>
      </c>
      <c r="E126" s="8">
        <f>Ledger!F126</f>
        <v/>
      </c>
      <c r="F126" s="9">
        <f>Ledger!G126</f>
        <v/>
      </c>
    </row>
    <row r="127">
      <c r="A127" s="9">
        <f>IF(Ledger!I127&lt;&gt;"Open","",IF(Ledger!F127&lt;=TODAY()+7,"Yes","-"))</f>
        <v/>
      </c>
      <c r="B127" s="9">
        <f>Ledger!C127</f>
        <v/>
      </c>
      <c r="C127" s="9">
        <f>Ledger!D127</f>
        <v/>
      </c>
      <c r="D127" s="10">
        <f>Ledger!E127</f>
        <v/>
      </c>
      <c r="E127" s="8">
        <f>Ledger!F127</f>
        <v/>
      </c>
      <c r="F127" s="9">
        <f>Ledger!G127</f>
        <v/>
      </c>
    </row>
    <row r="128">
      <c r="A128" s="9">
        <f>IF(Ledger!I128&lt;&gt;"Open","",IF(Ledger!F128&lt;=TODAY()+7,"Yes","-"))</f>
        <v/>
      </c>
      <c r="B128" s="9">
        <f>Ledger!C128</f>
        <v/>
      </c>
      <c r="C128" s="9">
        <f>Ledger!D128</f>
        <v/>
      </c>
      <c r="D128" s="10">
        <f>Ledger!E128</f>
        <v/>
      </c>
      <c r="E128" s="8">
        <f>Ledger!F128</f>
        <v/>
      </c>
      <c r="F128" s="9">
        <f>Ledger!G128</f>
        <v/>
      </c>
    </row>
    <row r="129">
      <c r="A129" s="9">
        <f>IF(Ledger!I129&lt;&gt;"Open","",IF(Ledger!F129&lt;=TODAY()+7,"Yes","-"))</f>
        <v/>
      </c>
      <c r="B129" s="9">
        <f>Ledger!C129</f>
        <v/>
      </c>
      <c r="C129" s="9">
        <f>Ledger!D129</f>
        <v/>
      </c>
      <c r="D129" s="10">
        <f>Ledger!E129</f>
        <v/>
      </c>
      <c r="E129" s="8">
        <f>Ledger!F129</f>
        <v/>
      </c>
      <c r="F129" s="9">
        <f>Ledger!G129</f>
        <v/>
      </c>
    </row>
    <row r="130">
      <c r="A130" s="9">
        <f>IF(Ledger!I130&lt;&gt;"Open","",IF(Ledger!F130&lt;=TODAY()+7,"Yes","-"))</f>
        <v/>
      </c>
      <c r="B130" s="9">
        <f>Ledger!C130</f>
        <v/>
      </c>
      <c r="C130" s="9">
        <f>Ledger!D130</f>
        <v/>
      </c>
      <c r="D130" s="10">
        <f>Ledger!E130</f>
        <v/>
      </c>
      <c r="E130" s="8">
        <f>Ledger!F130</f>
        <v/>
      </c>
      <c r="F130" s="9">
        <f>Ledger!G130</f>
        <v/>
      </c>
    </row>
    <row r="131">
      <c r="A131" s="9">
        <f>IF(Ledger!I131&lt;&gt;"Open","",IF(Ledger!F131&lt;=TODAY()+7,"Yes","-"))</f>
        <v/>
      </c>
      <c r="B131" s="9">
        <f>Ledger!C131</f>
        <v/>
      </c>
      <c r="C131" s="9">
        <f>Ledger!D131</f>
        <v/>
      </c>
      <c r="D131" s="10">
        <f>Ledger!E131</f>
        <v/>
      </c>
      <c r="E131" s="8">
        <f>Ledger!F131</f>
        <v/>
      </c>
      <c r="F131" s="9">
        <f>Ledger!G131</f>
        <v/>
      </c>
    </row>
    <row r="132">
      <c r="A132" s="9">
        <f>IF(Ledger!I132&lt;&gt;"Open","",IF(Ledger!F132&lt;=TODAY()+7,"Yes","-"))</f>
        <v/>
      </c>
      <c r="B132" s="9">
        <f>Ledger!C132</f>
        <v/>
      </c>
      <c r="C132" s="9">
        <f>Ledger!D132</f>
        <v/>
      </c>
      <c r="D132" s="10">
        <f>Ledger!E132</f>
        <v/>
      </c>
      <c r="E132" s="8">
        <f>Ledger!F132</f>
        <v/>
      </c>
      <c r="F132" s="9">
        <f>Ledger!G132</f>
        <v/>
      </c>
    </row>
    <row r="133">
      <c r="A133" s="9">
        <f>IF(Ledger!I133&lt;&gt;"Open","",IF(Ledger!F133&lt;=TODAY()+7,"Yes","-"))</f>
        <v/>
      </c>
      <c r="B133" s="9">
        <f>Ledger!C133</f>
        <v/>
      </c>
      <c r="C133" s="9">
        <f>Ledger!D133</f>
        <v/>
      </c>
      <c r="D133" s="10">
        <f>Ledger!E133</f>
        <v/>
      </c>
      <c r="E133" s="8">
        <f>Ledger!F133</f>
        <v/>
      </c>
      <c r="F133" s="9">
        <f>Ledger!G133</f>
        <v/>
      </c>
    </row>
    <row r="134">
      <c r="A134" s="9">
        <f>IF(Ledger!I134&lt;&gt;"Open","",IF(Ledger!F134&lt;=TODAY()+7,"Yes","-"))</f>
        <v/>
      </c>
      <c r="B134" s="9">
        <f>Ledger!C134</f>
        <v/>
      </c>
      <c r="C134" s="9">
        <f>Ledger!D134</f>
        <v/>
      </c>
      <c r="D134" s="10">
        <f>Ledger!E134</f>
        <v/>
      </c>
      <c r="E134" s="8">
        <f>Ledger!F134</f>
        <v/>
      </c>
      <c r="F134" s="9">
        <f>Ledger!G134</f>
        <v/>
      </c>
    </row>
    <row r="135">
      <c r="A135" s="9">
        <f>IF(Ledger!I135&lt;&gt;"Open","",IF(Ledger!F135&lt;=TODAY()+7,"Yes","-"))</f>
        <v/>
      </c>
      <c r="B135" s="9">
        <f>Ledger!C135</f>
        <v/>
      </c>
      <c r="C135" s="9">
        <f>Ledger!D135</f>
        <v/>
      </c>
      <c r="D135" s="10">
        <f>Ledger!E135</f>
        <v/>
      </c>
      <c r="E135" s="8">
        <f>Ledger!F135</f>
        <v/>
      </c>
      <c r="F135" s="9">
        <f>Ledger!G135</f>
        <v/>
      </c>
    </row>
    <row r="136">
      <c r="A136" s="9">
        <f>IF(Ledger!I136&lt;&gt;"Open","",IF(Ledger!F136&lt;=TODAY()+7,"Yes","-"))</f>
        <v/>
      </c>
      <c r="B136" s="9">
        <f>Ledger!C136</f>
        <v/>
      </c>
      <c r="C136" s="9">
        <f>Ledger!D136</f>
        <v/>
      </c>
      <c r="D136" s="10">
        <f>Ledger!E136</f>
        <v/>
      </c>
      <c r="E136" s="8">
        <f>Ledger!F136</f>
        <v/>
      </c>
      <c r="F136" s="9">
        <f>Ledger!G136</f>
        <v/>
      </c>
    </row>
    <row r="137">
      <c r="A137" s="9">
        <f>IF(Ledger!I137&lt;&gt;"Open","",IF(Ledger!F137&lt;=TODAY()+7,"Yes","-"))</f>
        <v/>
      </c>
      <c r="B137" s="9">
        <f>Ledger!C137</f>
        <v/>
      </c>
      <c r="C137" s="9">
        <f>Ledger!D137</f>
        <v/>
      </c>
      <c r="D137" s="10">
        <f>Ledger!E137</f>
        <v/>
      </c>
      <c r="E137" s="8">
        <f>Ledger!F137</f>
        <v/>
      </c>
      <c r="F137" s="9">
        <f>Ledger!G137</f>
        <v/>
      </c>
    </row>
    <row r="138">
      <c r="A138" s="9">
        <f>IF(Ledger!I138&lt;&gt;"Open","",IF(Ledger!F138&lt;=TODAY()+7,"Yes","-"))</f>
        <v/>
      </c>
      <c r="B138" s="9">
        <f>Ledger!C138</f>
        <v/>
      </c>
      <c r="C138" s="9">
        <f>Ledger!D138</f>
        <v/>
      </c>
      <c r="D138" s="10">
        <f>Ledger!E138</f>
        <v/>
      </c>
      <c r="E138" s="8">
        <f>Ledger!F138</f>
        <v/>
      </c>
      <c r="F138" s="9">
        <f>Ledger!G138</f>
        <v/>
      </c>
    </row>
    <row r="139">
      <c r="A139" s="9">
        <f>IF(Ledger!I139&lt;&gt;"Open","",IF(Ledger!F139&lt;=TODAY()+7,"Yes","-"))</f>
        <v/>
      </c>
      <c r="B139" s="9">
        <f>Ledger!C139</f>
        <v/>
      </c>
      <c r="C139" s="9">
        <f>Ledger!D139</f>
        <v/>
      </c>
      <c r="D139" s="10">
        <f>Ledger!E139</f>
        <v/>
      </c>
      <c r="E139" s="8">
        <f>Ledger!F139</f>
        <v/>
      </c>
      <c r="F139" s="9">
        <f>Ledger!G139</f>
        <v/>
      </c>
    </row>
    <row r="140">
      <c r="A140" s="9">
        <f>IF(Ledger!I140&lt;&gt;"Open","",IF(Ledger!F140&lt;=TODAY()+7,"Yes","-"))</f>
        <v/>
      </c>
      <c r="B140" s="9">
        <f>Ledger!C140</f>
        <v/>
      </c>
      <c r="C140" s="9">
        <f>Ledger!D140</f>
        <v/>
      </c>
      <c r="D140" s="10">
        <f>Ledger!E140</f>
        <v/>
      </c>
      <c r="E140" s="8">
        <f>Ledger!F140</f>
        <v/>
      </c>
      <c r="F140" s="9">
        <f>Ledger!G140</f>
        <v/>
      </c>
    </row>
    <row r="141">
      <c r="A141" s="9">
        <f>IF(Ledger!I141&lt;&gt;"Open","",IF(Ledger!F141&lt;=TODAY()+7,"Yes","-"))</f>
        <v/>
      </c>
      <c r="B141" s="9">
        <f>Ledger!C141</f>
        <v/>
      </c>
      <c r="C141" s="9">
        <f>Ledger!D141</f>
        <v/>
      </c>
      <c r="D141" s="10">
        <f>Ledger!E141</f>
        <v/>
      </c>
      <c r="E141" s="8">
        <f>Ledger!F141</f>
        <v/>
      </c>
      <c r="F141" s="9">
        <f>Ledger!G141</f>
        <v/>
      </c>
    </row>
    <row r="142">
      <c r="A142" s="9">
        <f>IF(Ledger!I142&lt;&gt;"Open","",IF(Ledger!F142&lt;=TODAY()+7,"Yes","-"))</f>
        <v/>
      </c>
      <c r="B142" s="9">
        <f>Ledger!C142</f>
        <v/>
      </c>
      <c r="C142" s="9">
        <f>Ledger!D142</f>
        <v/>
      </c>
      <c r="D142" s="10">
        <f>Ledger!E142</f>
        <v/>
      </c>
      <c r="E142" s="8">
        <f>Ledger!F142</f>
        <v/>
      </c>
      <c r="F142" s="9">
        <f>Ledger!G142</f>
        <v/>
      </c>
    </row>
    <row r="143">
      <c r="A143" s="9">
        <f>IF(Ledger!I143&lt;&gt;"Open","",IF(Ledger!F143&lt;=TODAY()+7,"Yes","-"))</f>
        <v/>
      </c>
      <c r="B143" s="9">
        <f>Ledger!C143</f>
        <v/>
      </c>
      <c r="C143" s="9">
        <f>Ledger!D143</f>
        <v/>
      </c>
      <c r="D143" s="10">
        <f>Ledger!E143</f>
        <v/>
      </c>
      <c r="E143" s="8">
        <f>Ledger!F143</f>
        <v/>
      </c>
      <c r="F143" s="9">
        <f>Ledger!G143</f>
        <v/>
      </c>
    </row>
    <row r="144">
      <c r="A144" s="9">
        <f>IF(Ledger!I144&lt;&gt;"Open","",IF(Ledger!F144&lt;=TODAY()+7,"Yes","-"))</f>
        <v/>
      </c>
      <c r="B144" s="9">
        <f>Ledger!C144</f>
        <v/>
      </c>
      <c r="C144" s="9">
        <f>Ledger!D144</f>
        <v/>
      </c>
      <c r="D144" s="10">
        <f>Ledger!E144</f>
        <v/>
      </c>
      <c r="E144" s="8">
        <f>Ledger!F144</f>
        <v/>
      </c>
      <c r="F144" s="9">
        <f>Ledger!G144</f>
        <v/>
      </c>
    </row>
    <row r="145">
      <c r="A145" s="9">
        <f>IF(Ledger!I145&lt;&gt;"Open","",IF(Ledger!F145&lt;=TODAY()+7,"Yes","-"))</f>
        <v/>
      </c>
      <c r="B145" s="9">
        <f>Ledger!C145</f>
        <v/>
      </c>
      <c r="C145" s="9">
        <f>Ledger!D145</f>
        <v/>
      </c>
      <c r="D145" s="10">
        <f>Ledger!E145</f>
        <v/>
      </c>
      <c r="E145" s="8">
        <f>Ledger!F145</f>
        <v/>
      </c>
      <c r="F145" s="9">
        <f>Ledger!G145</f>
        <v/>
      </c>
    </row>
    <row r="146">
      <c r="A146" s="9">
        <f>IF(Ledger!I146&lt;&gt;"Open","",IF(Ledger!F146&lt;=TODAY()+7,"Yes","-"))</f>
        <v/>
      </c>
      <c r="B146" s="9">
        <f>Ledger!C146</f>
        <v/>
      </c>
      <c r="C146" s="9">
        <f>Ledger!D146</f>
        <v/>
      </c>
      <c r="D146" s="10">
        <f>Ledger!E146</f>
        <v/>
      </c>
      <c r="E146" s="8">
        <f>Ledger!F146</f>
        <v/>
      </c>
      <c r="F146" s="9">
        <f>Ledger!G146</f>
        <v/>
      </c>
    </row>
    <row r="147">
      <c r="A147" s="9">
        <f>IF(Ledger!I147&lt;&gt;"Open","",IF(Ledger!F147&lt;=TODAY()+7,"Yes","-"))</f>
        <v/>
      </c>
      <c r="B147" s="9">
        <f>Ledger!C147</f>
        <v/>
      </c>
      <c r="C147" s="9">
        <f>Ledger!D147</f>
        <v/>
      </c>
      <c r="D147" s="10">
        <f>Ledger!E147</f>
        <v/>
      </c>
      <c r="E147" s="8">
        <f>Ledger!F147</f>
        <v/>
      </c>
      <c r="F147" s="9">
        <f>Ledger!G147</f>
        <v/>
      </c>
    </row>
    <row r="148">
      <c r="A148" s="9">
        <f>IF(Ledger!I148&lt;&gt;"Open","",IF(Ledger!F148&lt;=TODAY()+7,"Yes","-"))</f>
        <v/>
      </c>
      <c r="B148" s="9">
        <f>Ledger!C148</f>
        <v/>
      </c>
      <c r="C148" s="9">
        <f>Ledger!D148</f>
        <v/>
      </c>
      <c r="D148" s="10">
        <f>Ledger!E148</f>
        <v/>
      </c>
      <c r="E148" s="8">
        <f>Ledger!F148</f>
        <v/>
      </c>
      <c r="F148" s="9">
        <f>Ledger!G148</f>
        <v/>
      </c>
    </row>
    <row r="149">
      <c r="A149" s="9">
        <f>IF(Ledger!I149&lt;&gt;"Open","",IF(Ledger!F149&lt;=TODAY()+7,"Yes","-"))</f>
        <v/>
      </c>
      <c r="B149" s="9">
        <f>Ledger!C149</f>
        <v/>
      </c>
      <c r="C149" s="9">
        <f>Ledger!D149</f>
        <v/>
      </c>
      <c r="D149" s="10">
        <f>Ledger!E149</f>
        <v/>
      </c>
      <c r="E149" s="8">
        <f>Ledger!F149</f>
        <v/>
      </c>
      <c r="F149" s="9">
        <f>Ledger!G149</f>
        <v/>
      </c>
    </row>
    <row r="150">
      <c r="A150" s="9">
        <f>IF(Ledger!I150&lt;&gt;"Open","",IF(Ledger!F150&lt;=TODAY()+7,"Yes","-"))</f>
        <v/>
      </c>
      <c r="B150" s="9">
        <f>Ledger!C150</f>
        <v/>
      </c>
      <c r="C150" s="9">
        <f>Ledger!D150</f>
        <v/>
      </c>
      <c r="D150" s="10">
        <f>Ledger!E150</f>
        <v/>
      </c>
      <c r="E150" s="8">
        <f>Ledger!F150</f>
        <v/>
      </c>
      <c r="F150" s="9">
        <f>Ledger!G150</f>
        <v/>
      </c>
    </row>
    <row r="151">
      <c r="A151" s="9">
        <f>IF(Ledger!I151&lt;&gt;"Open","",IF(Ledger!F151&lt;=TODAY()+7,"Yes","-"))</f>
        <v/>
      </c>
      <c r="B151" s="9">
        <f>Ledger!C151</f>
        <v/>
      </c>
      <c r="C151" s="9">
        <f>Ledger!D151</f>
        <v/>
      </c>
      <c r="D151" s="10">
        <f>Ledger!E151</f>
        <v/>
      </c>
      <c r="E151" s="8">
        <f>Ledger!F151</f>
        <v/>
      </c>
      <c r="F151" s="9">
        <f>Ledger!G151</f>
        <v/>
      </c>
    </row>
    <row r="152">
      <c r="A152" s="9">
        <f>IF(Ledger!I152&lt;&gt;"Open","",IF(Ledger!F152&lt;=TODAY()+7,"Yes","-"))</f>
        <v/>
      </c>
      <c r="B152" s="9">
        <f>Ledger!C152</f>
        <v/>
      </c>
      <c r="C152" s="9">
        <f>Ledger!D152</f>
        <v/>
      </c>
      <c r="D152" s="10">
        <f>Ledger!E152</f>
        <v/>
      </c>
      <c r="E152" s="8">
        <f>Ledger!F152</f>
        <v/>
      </c>
      <c r="F152" s="9">
        <f>Ledger!G152</f>
        <v/>
      </c>
    </row>
    <row r="153">
      <c r="A153" s="9">
        <f>IF(Ledger!I153&lt;&gt;"Open","",IF(Ledger!F153&lt;=TODAY()+7,"Yes","-"))</f>
        <v/>
      </c>
      <c r="B153" s="9">
        <f>Ledger!C153</f>
        <v/>
      </c>
      <c r="C153" s="9">
        <f>Ledger!D153</f>
        <v/>
      </c>
      <c r="D153" s="10">
        <f>Ledger!E153</f>
        <v/>
      </c>
      <c r="E153" s="8">
        <f>Ledger!F153</f>
        <v/>
      </c>
      <c r="F153" s="9">
        <f>Ledger!G153</f>
        <v/>
      </c>
    </row>
    <row r="154">
      <c r="A154" s="9">
        <f>IF(Ledger!I154&lt;&gt;"Open","",IF(Ledger!F154&lt;=TODAY()+7,"Yes","-"))</f>
        <v/>
      </c>
      <c r="B154" s="9">
        <f>Ledger!C154</f>
        <v/>
      </c>
      <c r="C154" s="9">
        <f>Ledger!D154</f>
        <v/>
      </c>
      <c r="D154" s="10">
        <f>Ledger!E154</f>
        <v/>
      </c>
      <c r="E154" s="8">
        <f>Ledger!F154</f>
        <v/>
      </c>
      <c r="F154" s="9">
        <f>Ledger!G154</f>
        <v/>
      </c>
    </row>
    <row r="155">
      <c r="A155" s="9">
        <f>IF(Ledger!I155&lt;&gt;"Open","",IF(Ledger!F155&lt;=TODAY()+7,"Yes","-"))</f>
        <v/>
      </c>
      <c r="B155" s="9">
        <f>Ledger!C155</f>
        <v/>
      </c>
      <c r="C155" s="9">
        <f>Ledger!D155</f>
        <v/>
      </c>
      <c r="D155" s="10">
        <f>Ledger!E155</f>
        <v/>
      </c>
      <c r="E155" s="8">
        <f>Ledger!F155</f>
        <v/>
      </c>
      <c r="F155" s="9">
        <f>Ledger!G155</f>
        <v/>
      </c>
    </row>
    <row r="156">
      <c r="A156" s="9">
        <f>IF(Ledger!I156&lt;&gt;"Open","",IF(Ledger!F156&lt;=TODAY()+7,"Yes","-"))</f>
        <v/>
      </c>
      <c r="B156" s="9">
        <f>Ledger!C156</f>
        <v/>
      </c>
      <c r="C156" s="9">
        <f>Ledger!D156</f>
        <v/>
      </c>
      <c r="D156" s="10">
        <f>Ledger!E156</f>
        <v/>
      </c>
      <c r="E156" s="8">
        <f>Ledger!F156</f>
        <v/>
      </c>
      <c r="F156" s="9">
        <f>Ledger!G156</f>
        <v/>
      </c>
    </row>
    <row r="157">
      <c r="A157" s="9">
        <f>IF(Ledger!I157&lt;&gt;"Open","",IF(Ledger!F157&lt;=TODAY()+7,"Yes","-"))</f>
        <v/>
      </c>
      <c r="B157" s="9">
        <f>Ledger!C157</f>
        <v/>
      </c>
      <c r="C157" s="9">
        <f>Ledger!D157</f>
        <v/>
      </c>
      <c r="D157" s="10">
        <f>Ledger!E157</f>
        <v/>
      </c>
      <c r="E157" s="8">
        <f>Ledger!F157</f>
        <v/>
      </c>
      <c r="F157" s="9">
        <f>Ledger!G157</f>
        <v/>
      </c>
    </row>
    <row r="158">
      <c r="A158" s="9">
        <f>IF(Ledger!I158&lt;&gt;"Open","",IF(Ledger!F158&lt;=TODAY()+7,"Yes","-"))</f>
        <v/>
      </c>
      <c r="B158" s="9">
        <f>Ledger!C158</f>
        <v/>
      </c>
      <c r="C158" s="9">
        <f>Ledger!D158</f>
        <v/>
      </c>
      <c r="D158" s="10">
        <f>Ledger!E158</f>
        <v/>
      </c>
      <c r="E158" s="8">
        <f>Ledger!F158</f>
        <v/>
      </c>
      <c r="F158" s="9">
        <f>Ledger!G158</f>
        <v/>
      </c>
    </row>
    <row r="159">
      <c r="A159" s="9">
        <f>IF(Ledger!I159&lt;&gt;"Open","",IF(Ledger!F159&lt;=TODAY()+7,"Yes","-"))</f>
        <v/>
      </c>
      <c r="B159" s="9">
        <f>Ledger!C159</f>
        <v/>
      </c>
      <c r="C159" s="9">
        <f>Ledger!D159</f>
        <v/>
      </c>
      <c r="D159" s="10">
        <f>Ledger!E159</f>
        <v/>
      </c>
      <c r="E159" s="8">
        <f>Ledger!F159</f>
        <v/>
      </c>
      <c r="F159" s="9">
        <f>Ledger!G159</f>
        <v/>
      </c>
    </row>
    <row r="160">
      <c r="A160" s="9">
        <f>IF(Ledger!I160&lt;&gt;"Open","",IF(Ledger!F160&lt;=TODAY()+7,"Yes","-"))</f>
        <v/>
      </c>
      <c r="B160" s="9">
        <f>Ledger!C160</f>
        <v/>
      </c>
      <c r="C160" s="9">
        <f>Ledger!D160</f>
        <v/>
      </c>
      <c r="D160" s="10">
        <f>Ledger!E160</f>
        <v/>
      </c>
      <c r="E160" s="8">
        <f>Ledger!F160</f>
        <v/>
      </c>
      <c r="F160" s="9">
        <f>Ledger!G160</f>
        <v/>
      </c>
    </row>
    <row r="161">
      <c r="A161" s="9">
        <f>IF(Ledger!I161&lt;&gt;"Open","",IF(Ledger!F161&lt;=TODAY()+7,"Yes","-"))</f>
        <v/>
      </c>
      <c r="B161" s="9">
        <f>Ledger!C161</f>
        <v/>
      </c>
      <c r="C161" s="9">
        <f>Ledger!D161</f>
        <v/>
      </c>
      <c r="D161" s="10">
        <f>Ledger!E161</f>
        <v/>
      </c>
      <c r="E161" s="8">
        <f>Ledger!F161</f>
        <v/>
      </c>
      <c r="F161" s="9">
        <f>Ledger!G161</f>
        <v/>
      </c>
    </row>
    <row r="162">
      <c r="A162" s="9">
        <f>IF(Ledger!I162&lt;&gt;"Open","",IF(Ledger!F162&lt;=TODAY()+7,"Yes","-"))</f>
        <v/>
      </c>
      <c r="B162" s="9">
        <f>Ledger!C162</f>
        <v/>
      </c>
      <c r="C162" s="9">
        <f>Ledger!D162</f>
        <v/>
      </c>
      <c r="D162" s="10">
        <f>Ledger!E162</f>
        <v/>
      </c>
      <c r="E162" s="8">
        <f>Ledger!F162</f>
        <v/>
      </c>
      <c r="F162" s="9">
        <f>Ledger!G162</f>
        <v/>
      </c>
    </row>
    <row r="163">
      <c r="A163" s="9">
        <f>IF(Ledger!I163&lt;&gt;"Open","",IF(Ledger!F163&lt;=TODAY()+7,"Yes","-"))</f>
        <v/>
      </c>
      <c r="B163" s="9">
        <f>Ledger!C163</f>
        <v/>
      </c>
      <c r="C163" s="9">
        <f>Ledger!D163</f>
        <v/>
      </c>
      <c r="D163" s="10">
        <f>Ledger!E163</f>
        <v/>
      </c>
      <c r="E163" s="8">
        <f>Ledger!F163</f>
        <v/>
      </c>
      <c r="F163" s="9">
        <f>Ledger!G163</f>
        <v/>
      </c>
    </row>
    <row r="164">
      <c r="A164" s="9">
        <f>IF(Ledger!I164&lt;&gt;"Open","",IF(Ledger!F164&lt;=TODAY()+7,"Yes","-"))</f>
        <v/>
      </c>
      <c r="B164" s="9">
        <f>Ledger!C164</f>
        <v/>
      </c>
      <c r="C164" s="9">
        <f>Ledger!D164</f>
        <v/>
      </c>
      <c r="D164" s="10">
        <f>Ledger!E164</f>
        <v/>
      </c>
      <c r="E164" s="8">
        <f>Ledger!F164</f>
        <v/>
      </c>
      <c r="F164" s="9">
        <f>Ledger!G164</f>
        <v/>
      </c>
    </row>
    <row r="165">
      <c r="A165" s="9">
        <f>IF(Ledger!I165&lt;&gt;"Open","",IF(Ledger!F165&lt;=TODAY()+7,"Yes","-"))</f>
        <v/>
      </c>
      <c r="B165" s="9">
        <f>Ledger!C165</f>
        <v/>
      </c>
      <c r="C165" s="9">
        <f>Ledger!D165</f>
        <v/>
      </c>
      <c r="D165" s="10">
        <f>Ledger!E165</f>
        <v/>
      </c>
      <c r="E165" s="8">
        <f>Ledger!F165</f>
        <v/>
      </c>
      <c r="F165" s="9">
        <f>Ledger!G165</f>
        <v/>
      </c>
    </row>
    <row r="166">
      <c r="A166" s="9">
        <f>IF(Ledger!I166&lt;&gt;"Open","",IF(Ledger!F166&lt;=TODAY()+7,"Yes","-"))</f>
        <v/>
      </c>
      <c r="B166" s="9">
        <f>Ledger!C166</f>
        <v/>
      </c>
      <c r="C166" s="9">
        <f>Ledger!D166</f>
        <v/>
      </c>
      <c r="D166" s="10">
        <f>Ledger!E166</f>
        <v/>
      </c>
      <c r="E166" s="8">
        <f>Ledger!F166</f>
        <v/>
      </c>
      <c r="F166" s="9">
        <f>Ledger!G166</f>
        <v/>
      </c>
    </row>
    <row r="167">
      <c r="A167" s="9">
        <f>IF(Ledger!I167&lt;&gt;"Open","",IF(Ledger!F167&lt;=TODAY()+7,"Yes","-"))</f>
        <v/>
      </c>
      <c r="B167" s="9">
        <f>Ledger!C167</f>
        <v/>
      </c>
      <c r="C167" s="9">
        <f>Ledger!D167</f>
        <v/>
      </c>
      <c r="D167" s="10">
        <f>Ledger!E167</f>
        <v/>
      </c>
      <c r="E167" s="8">
        <f>Ledger!F167</f>
        <v/>
      </c>
      <c r="F167" s="9">
        <f>Ledger!G167</f>
        <v/>
      </c>
    </row>
    <row r="168">
      <c r="A168" s="9">
        <f>IF(Ledger!I168&lt;&gt;"Open","",IF(Ledger!F168&lt;=TODAY()+7,"Yes","-"))</f>
        <v/>
      </c>
      <c r="B168" s="9">
        <f>Ledger!C168</f>
        <v/>
      </c>
      <c r="C168" s="9">
        <f>Ledger!D168</f>
        <v/>
      </c>
      <c r="D168" s="10">
        <f>Ledger!E168</f>
        <v/>
      </c>
      <c r="E168" s="8">
        <f>Ledger!F168</f>
        <v/>
      </c>
      <c r="F168" s="9">
        <f>Ledger!G168</f>
        <v/>
      </c>
    </row>
    <row r="169">
      <c r="A169" s="9">
        <f>IF(Ledger!I169&lt;&gt;"Open","",IF(Ledger!F169&lt;=TODAY()+7,"Yes","-"))</f>
        <v/>
      </c>
      <c r="B169" s="9">
        <f>Ledger!C169</f>
        <v/>
      </c>
      <c r="C169" s="9">
        <f>Ledger!D169</f>
        <v/>
      </c>
      <c r="D169" s="10">
        <f>Ledger!E169</f>
        <v/>
      </c>
      <c r="E169" s="8">
        <f>Ledger!F169</f>
        <v/>
      </c>
      <c r="F169" s="9">
        <f>Ledger!G169</f>
        <v/>
      </c>
    </row>
    <row r="170">
      <c r="A170" s="9">
        <f>IF(Ledger!I170&lt;&gt;"Open","",IF(Ledger!F170&lt;=TODAY()+7,"Yes","-"))</f>
        <v/>
      </c>
      <c r="B170" s="9">
        <f>Ledger!C170</f>
        <v/>
      </c>
      <c r="C170" s="9">
        <f>Ledger!D170</f>
        <v/>
      </c>
      <c r="D170" s="10">
        <f>Ledger!E170</f>
        <v/>
      </c>
      <c r="E170" s="8">
        <f>Ledger!F170</f>
        <v/>
      </c>
      <c r="F170" s="9">
        <f>Ledger!G170</f>
        <v/>
      </c>
    </row>
    <row r="171">
      <c r="A171" s="9">
        <f>IF(Ledger!I171&lt;&gt;"Open","",IF(Ledger!F171&lt;=TODAY()+7,"Yes","-"))</f>
        <v/>
      </c>
      <c r="B171" s="9">
        <f>Ledger!C171</f>
        <v/>
      </c>
      <c r="C171" s="9">
        <f>Ledger!D171</f>
        <v/>
      </c>
      <c r="D171" s="10">
        <f>Ledger!E171</f>
        <v/>
      </c>
      <c r="E171" s="8">
        <f>Ledger!F171</f>
        <v/>
      </c>
      <c r="F171" s="9">
        <f>Ledger!G171</f>
        <v/>
      </c>
    </row>
    <row r="172">
      <c r="A172" s="9">
        <f>IF(Ledger!I172&lt;&gt;"Open","",IF(Ledger!F172&lt;=TODAY()+7,"Yes","-"))</f>
        <v/>
      </c>
      <c r="B172" s="9">
        <f>Ledger!C172</f>
        <v/>
      </c>
      <c r="C172" s="9">
        <f>Ledger!D172</f>
        <v/>
      </c>
      <c r="D172" s="10">
        <f>Ledger!E172</f>
        <v/>
      </c>
      <c r="E172" s="8">
        <f>Ledger!F172</f>
        <v/>
      </c>
      <c r="F172" s="9">
        <f>Ledger!G172</f>
        <v/>
      </c>
    </row>
    <row r="173">
      <c r="A173" s="9">
        <f>IF(Ledger!I173&lt;&gt;"Open","",IF(Ledger!F173&lt;=TODAY()+7,"Yes","-"))</f>
        <v/>
      </c>
      <c r="B173" s="9">
        <f>Ledger!C173</f>
        <v/>
      </c>
      <c r="C173" s="9">
        <f>Ledger!D173</f>
        <v/>
      </c>
      <c r="D173" s="10">
        <f>Ledger!E173</f>
        <v/>
      </c>
      <c r="E173" s="8">
        <f>Ledger!F173</f>
        <v/>
      </c>
      <c r="F173" s="9">
        <f>Ledger!G173</f>
        <v/>
      </c>
    </row>
    <row r="174">
      <c r="A174" s="9">
        <f>IF(Ledger!I174&lt;&gt;"Open","",IF(Ledger!F174&lt;=TODAY()+7,"Yes","-"))</f>
        <v/>
      </c>
      <c r="B174" s="9">
        <f>Ledger!C174</f>
        <v/>
      </c>
      <c r="C174" s="9">
        <f>Ledger!D174</f>
        <v/>
      </c>
      <c r="D174" s="10">
        <f>Ledger!E174</f>
        <v/>
      </c>
      <c r="E174" s="8">
        <f>Ledger!F174</f>
        <v/>
      </c>
      <c r="F174" s="9">
        <f>Ledger!G174</f>
        <v/>
      </c>
    </row>
    <row r="175">
      <c r="A175" s="9">
        <f>IF(Ledger!I175&lt;&gt;"Open","",IF(Ledger!F175&lt;=TODAY()+7,"Yes","-"))</f>
        <v/>
      </c>
      <c r="B175" s="9">
        <f>Ledger!C175</f>
        <v/>
      </c>
      <c r="C175" s="9">
        <f>Ledger!D175</f>
        <v/>
      </c>
      <c r="D175" s="10">
        <f>Ledger!E175</f>
        <v/>
      </c>
      <c r="E175" s="8">
        <f>Ledger!F175</f>
        <v/>
      </c>
      <c r="F175" s="9">
        <f>Ledger!G175</f>
        <v/>
      </c>
    </row>
    <row r="176">
      <c r="A176" s="9">
        <f>IF(Ledger!I176&lt;&gt;"Open","",IF(Ledger!F176&lt;=TODAY()+7,"Yes","-"))</f>
        <v/>
      </c>
      <c r="B176" s="9">
        <f>Ledger!C176</f>
        <v/>
      </c>
      <c r="C176" s="9">
        <f>Ledger!D176</f>
        <v/>
      </c>
      <c r="D176" s="10">
        <f>Ledger!E176</f>
        <v/>
      </c>
      <c r="E176" s="8">
        <f>Ledger!F176</f>
        <v/>
      </c>
      <c r="F176" s="9">
        <f>Ledger!G176</f>
        <v/>
      </c>
    </row>
    <row r="177">
      <c r="A177" s="9">
        <f>IF(Ledger!I177&lt;&gt;"Open","",IF(Ledger!F177&lt;=TODAY()+7,"Yes","-"))</f>
        <v/>
      </c>
      <c r="B177" s="9">
        <f>Ledger!C177</f>
        <v/>
      </c>
      <c r="C177" s="9">
        <f>Ledger!D177</f>
        <v/>
      </c>
      <c r="D177" s="10">
        <f>Ledger!E177</f>
        <v/>
      </c>
      <c r="E177" s="8">
        <f>Ledger!F177</f>
        <v/>
      </c>
      <c r="F177" s="9">
        <f>Ledger!G177</f>
        <v/>
      </c>
    </row>
    <row r="178">
      <c r="A178" s="9">
        <f>IF(Ledger!I178&lt;&gt;"Open","",IF(Ledger!F178&lt;=TODAY()+7,"Yes","-"))</f>
        <v/>
      </c>
      <c r="B178" s="9">
        <f>Ledger!C178</f>
        <v/>
      </c>
      <c r="C178" s="9">
        <f>Ledger!D178</f>
        <v/>
      </c>
      <c r="D178" s="10">
        <f>Ledger!E178</f>
        <v/>
      </c>
      <c r="E178" s="8">
        <f>Ledger!F178</f>
        <v/>
      </c>
      <c r="F178" s="9">
        <f>Ledger!G178</f>
        <v/>
      </c>
    </row>
    <row r="179">
      <c r="A179" s="9">
        <f>IF(Ledger!I179&lt;&gt;"Open","",IF(Ledger!F179&lt;=TODAY()+7,"Yes","-"))</f>
        <v/>
      </c>
      <c r="B179" s="9">
        <f>Ledger!C179</f>
        <v/>
      </c>
      <c r="C179" s="9">
        <f>Ledger!D179</f>
        <v/>
      </c>
      <c r="D179" s="10">
        <f>Ledger!E179</f>
        <v/>
      </c>
      <c r="E179" s="8">
        <f>Ledger!F179</f>
        <v/>
      </c>
      <c r="F179" s="9">
        <f>Ledger!G179</f>
        <v/>
      </c>
    </row>
    <row r="180">
      <c r="A180" s="9">
        <f>IF(Ledger!I180&lt;&gt;"Open","",IF(Ledger!F180&lt;=TODAY()+7,"Yes","-"))</f>
        <v/>
      </c>
      <c r="B180" s="9">
        <f>Ledger!C180</f>
        <v/>
      </c>
      <c r="C180" s="9">
        <f>Ledger!D180</f>
        <v/>
      </c>
      <c r="D180" s="10">
        <f>Ledger!E180</f>
        <v/>
      </c>
      <c r="E180" s="8">
        <f>Ledger!F180</f>
        <v/>
      </c>
      <c r="F180" s="9">
        <f>Ledger!G180</f>
        <v/>
      </c>
    </row>
    <row r="181">
      <c r="A181" s="9">
        <f>IF(Ledger!I181&lt;&gt;"Open","",IF(Ledger!F181&lt;=TODAY()+7,"Yes","-"))</f>
        <v/>
      </c>
      <c r="B181" s="9">
        <f>Ledger!C181</f>
        <v/>
      </c>
      <c r="C181" s="9">
        <f>Ledger!D181</f>
        <v/>
      </c>
      <c r="D181" s="10">
        <f>Ledger!E181</f>
        <v/>
      </c>
      <c r="E181" s="8">
        <f>Ledger!F181</f>
        <v/>
      </c>
      <c r="F181" s="9">
        <f>Ledger!G181</f>
        <v/>
      </c>
    </row>
    <row r="182">
      <c r="A182" s="9">
        <f>IF(Ledger!I182&lt;&gt;"Open","",IF(Ledger!F182&lt;=TODAY()+7,"Yes","-"))</f>
        <v/>
      </c>
      <c r="B182" s="9">
        <f>Ledger!C182</f>
        <v/>
      </c>
      <c r="C182" s="9">
        <f>Ledger!D182</f>
        <v/>
      </c>
      <c r="D182" s="10">
        <f>Ledger!E182</f>
        <v/>
      </c>
      <c r="E182" s="8">
        <f>Ledger!F182</f>
        <v/>
      </c>
      <c r="F182" s="9">
        <f>Ledger!G182</f>
        <v/>
      </c>
    </row>
    <row r="183">
      <c r="A183" s="9">
        <f>IF(Ledger!I183&lt;&gt;"Open","",IF(Ledger!F183&lt;=TODAY()+7,"Yes","-"))</f>
        <v/>
      </c>
      <c r="B183" s="9">
        <f>Ledger!C183</f>
        <v/>
      </c>
      <c r="C183" s="9">
        <f>Ledger!D183</f>
        <v/>
      </c>
      <c r="D183" s="10">
        <f>Ledger!E183</f>
        <v/>
      </c>
      <c r="E183" s="8">
        <f>Ledger!F183</f>
        <v/>
      </c>
      <c r="F183" s="9">
        <f>Ledger!G183</f>
        <v/>
      </c>
    </row>
    <row r="184">
      <c r="A184" s="9">
        <f>IF(Ledger!I184&lt;&gt;"Open","",IF(Ledger!F184&lt;=TODAY()+7,"Yes","-"))</f>
        <v/>
      </c>
      <c r="B184" s="9">
        <f>Ledger!C184</f>
        <v/>
      </c>
      <c r="C184" s="9">
        <f>Ledger!D184</f>
        <v/>
      </c>
      <c r="D184" s="10">
        <f>Ledger!E184</f>
        <v/>
      </c>
      <c r="E184" s="8">
        <f>Ledger!F184</f>
        <v/>
      </c>
      <c r="F184" s="9">
        <f>Ledger!G184</f>
        <v/>
      </c>
    </row>
    <row r="185">
      <c r="A185" s="9">
        <f>IF(Ledger!I185&lt;&gt;"Open","",IF(Ledger!F185&lt;=TODAY()+7,"Yes","-"))</f>
        <v/>
      </c>
      <c r="B185" s="9">
        <f>Ledger!C185</f>
        <v/>
      </c>
      <c r="C185" s="9">
        <f>Ledger!D185</f>
        <v/>
      </c>
      <c r="D185" s="10">
        <f>Ledger!E185</f>
        <v/>
      </c>
      <c r="E185" s="8">
        <f>Ledger!F185</f>
        <v/>
      </c>
      <c r="F185" s="9">
        <f>Ledger!G185</f>
        <v/>
      </c>
    </row>
    <row r="186">
      <c r="A186" s="9">
        <f>IF(Ledger!I186&lt;&gt;"Open","",IF(Ledger!F186&lt;=TODAY()+7,"Yes","-"))</f>
        <v/>
      </c>
      <c r="B186" s="9">
        <f>Ledger!C186</f>
        <v/>
      </c>
      <c r="C186" s="9">
        <f>Ledger!D186</f>
        <v/>
      </c>
      <c r="D186" s="10">
        <f>Ledger!E186</f>
        <v/>
      </c>
      <c r="E186" s="8">
        <f>Ledger!F186</f>
        <v/>
      </c>
      <c r="F186" s="9">
        <f>Ledger!G186</f>
        <v/>
      </c>
    </row>
    <row r="187">
      <c r="A187" s="9">
        <f>IF(Ledger!I187&lt;&gt;"Open","",IF(Ledger!F187&lt;=TODAY()+7,"Yes","-"))</f>
        <v/>
      </c>
      <c r="B187" s="9">
        <f>Ledger!C187</f>
        <v/>
      </c>
      <c r="C187" s="9">
        <f>Ledger!D187</f>
        <v/>
      </c>
      <c r="D187" s="10">
        <f>Ledger!E187</f>
        <v/>
      </c>
      <c r="E187" s="8">
        <f>Ledger!F187</f>
        <v/>
      </c>
      <c r="F187" s="9">
        <f>Ledger!G187</f>
        <v/>
      </c>
    </row>
    <row r="188">
      <c r="A188" s="9">
        <f>IF(Ledger!I188&lt;&gt;"Open","",IF(Ledger!F188&lt;=TODAY()+7,"Yes","-"))</f>
        <v/>
      </c>
      <c r="B188" s="9">
        <f>Ledger!C188</f>
        <v/>
      </c>
      <c r="C188" s="9">
        <f>Ledger!D188</f>
        <v/>
      </c>
      <c r="D188" s="10">
        <f>Ledger!E188</f>
        <v/>
      </c>
      <c r="E188" s="8">
        <f>Ledger!F188</f>
        <v/>
      </c>
      <c r="F188" s="9">
        <f>Ledger!G188</f>
        <v/>
      </c>
    </row>
    <row r="189">
      <c r="A189" s="9">
        <f>IF(Ledger!I189&lt;&gt;"Open","",IF(Ledger!F189&lt;=TODAY()+7,"Yes","-"))</f>
        <v/>
      </c>
      <c r="B189" s="9">
        <f>Ledger!C189</f>
        <v/>
      </c>
      <c r="C189" s="9">
        <f>Ledger!D189</f>
        <v/>
      </c>
      <c r="D189" s="10">
        <f>Ledger!E189</f>
        <v/>
      </c>
      <c r="E189" s="8">
        <f>Ledger!F189</f>
        <v/>
      </c>
      <c r="F189" s="9">
        <f>Ledger!G189</f>
        <v/>
      </c>
    </row>
    <row r="190">
      <c r="A190" s="9">
        <f>IF(Ledger!I190&lt;&gt;"Open","",IF(Ledger!F190&lt;=TODAY()+7,"Yes","-"))</f>
        <v/>
      </c>
      <c r="B190" s="9">
        <f>Ledger!C190</f>
        <v/>
      </c>
      <c r="C190" s="9">
        <f>Ledger!D190</f>
        <v/>
      </c>
      <c r="D190" s="10">
        <f>Ledger!E190</f>
        <v/>
      </c>
      <c r="E190" s="8">
        <f>Ledger!F190</f>
        <v/>
      </c>
      <c r="F190" s="9">
        <f>Ledger!G190</f>
        <v/>
      </c>
    </row>
    <row r="191">
      <c r="A191" s="9">
        <f>IF(Ledger!I191&lt;&gt;"Open","",IF(Ledger!F191&lt;=TODAY()+7,"Yes","-"))</f>
        <v/>
      </c>
      <c r="B191" s="9">
        <f>Ledger!C191</f>
        <v/>
      </c>
      <c r="C191" s="9">
        <f>Ledger!D191</f>
        <v/>
      </c>
      <c r="D191" s="10">
        <f>Ledger!E191</f>
        <v/>
      </c>
      <c r="E191" s="8">
        <f>Ledger!F191</f>
        <v/>
      </c>
      <c r="F191" s="9">
        <f>Ledger!G191</f>
        <v/>
      </c>
    </row>
    <row r="192">
      <c r="A192" s="9">
        <f>IF(Ledger!I192&lt;&gt;"Open","",IF(Ledger!F192&lt;=TODAY()+7,"Yes","-"))</f>
        <v/>
      </c>
      <c r="B192" s="9">
        <f>Ledger!C192</f>
        <v/>
      </c>
      <c r="C192" s="9">
        <f>Ledger!D192</f>
        <v/>
      </c>
      <c r="D192" s="10">
        <f>Ledger!E192</f>
        <v/>
      </c>
      <c r="E192" s="8">
        <f>Ledger!F192</f>
        <v/>
      </c>
      <c r="F192" s="9">
        <f>Ledger!G192</f>
        <v/>
      </c>
    </row>
    <row r="193">
      <c r="A193" s="9">
        <f>IF(Ledger!I193&lt;&gt;"Open","",IF(Ledger!F193&lt;=TODAY()+7,"Yes","-"))</f>
        <v/>
      </c>
      <c r="B193" s="9">
        <f>Ledger!C193</f>
        <v/>
      </c>
      <c r="C193" s="9">
        <f>Ledger!D193</f>
        <v/>
      </c>
      <c r="D193" s="10">
        <f>Ledger!E193</f>
        <v/>
      </c>
      <c r="E193" s="8">
        <f>Ledger!F193</f>
        <v/>
      </c>
      <c r="F193" s="9">
        <f>Ledger!G193</f>
        <v/>
      </c>
    </row>
    <row r="194">
      <c r="A194" s="9">
        <f>IF(Ledger!I194&lt;&gt;"Open","",IF(Ledger!F194&lt;=TODAY()+7,"Yes","-"))</f>
        <v/>
      </c>
      <c r="B194" s="9">
        <f>Ledger!C194</f>
        <v/>
      </c>
      <c r="C194" s="9">
        <f>Ledger!D194</f>
        <v/>
      </c>
      <c r="D194" s="10">
        <f>Ledger!E194</f>
        <v/>
      </c>
      <c r="E194" s="8">
        <f>Ledger!F194</f>
        <v/>
      </c>
      <c r="F194" s="9">
        <f>Ledger!G194</f>
        <v/>
      </c>
    </row>
    <row r="195">
      <c r="A195" s="9">
        <f>IF(Ledger!I195&lt;&gt;"Open","",IF(Ledger!F195&lt;=TODAY()+7,"Yes","-"))</f>
        <v/>
      </c>
      <c r="B195" s="9">
        <f>Ledger!C195</f>
        <v/>
      </c>
      <c r="C195" s="9">
        <f>Ledger!D195</f>
        <v/>
      </c>
      <c r="D195" s="10">
        <f>Ledger!E195</f>
        <v/>
      </c>
      <c r="E195" s="8">
        <f>Ledger!F195</f>
        <v/>
      </c>
      <c r="F195" s="9">
        <f>Ledger!G195</f>
        <v/>
      </c>
    </row>
    <row r="196">
      <c r="A196" s="9">
        <f>IF(Ledger!I196&lt;&gt;"Open","",IF(Ledger!F196&lt;=TODAY()+7,"Yes","-"))</f>
        <v/>
      </c>
      <c r="B196" s="9">
        <f>Ledger!C196</f>
        <v/>
      </c>
      <c r="C196" s="9">
        <f>Ledger!D196</f>
        <v/>
      </c>
      <c r="D196" s="10">
        <f>Ledger!E196</f>
        <v/>
      </c>
      <c r="E196" s="8">
        <f>Ledger!F196</f>
        <v/>
      </c>
      <c r="F196" s="9">
        <f>Ledger!G196</f>
        <v/>
      </c>
    </row>
    <row r="197">
      <c r="A197" s="9">
        <f>IF(Ledger!I197&lt;&gt;"Open","",IF(Ledger!F197&lt;=TODAY()+7,"Yes","-"))</f>
        <v/>
      </c>
      <c r="B197" s="9">
        <f>Ledger!C197</f>
        <v/>
      </c>
      <c r="C197" s="9">
        <f>Ledger!D197</f>
        <v/>
      </c>
      <c r="D197" s="10">
        <f>Ledger!E197</f>
        <v/>
      </c>
      <c r="E197" s="8">
        <f>Ledger!F197</f>
        <v/>
      </c>
      <c r="F197" s="9">
        <f>Ledger!G197</f>
        <v/>
      </c>
    </row>
    <row r="198">
      <c r="A198" s="9">
        <f>IF(Ledger!I198&lt;&gt;"Open","",IF(Ledger!F198&lt;=TODAY()+7,"Yes","-"))</f>
        <v/>
      </c>
      <c r="B198" s="9">
        <f>Ledger!C198</f>
        <v/>
      </c>
      <c r="C198" s="9">
        <f>Ledger!D198</f>
        <v/>
      </c>
      <c r="D198" s="10">
        <f>Ledger!E198</f>
        <v/>
      </c>
      <c r="E198" s="8">
        <f>Ledger!F198</f>
        <v/>
      </c>
      <c r="F198" s="9">
        <f>Ledger!G198</f>
        <v/>
      </c>
    </row>
    <row r="199">
      <c r="A199" s="9">
        <f>IF(Ledger!I199&lt;&gt;"Open","",IF(Ledger!F199&lt;=TODAY()+7,"Yes","-"))</f>
        <v/>
      </c>
      <c r="B199" s="9">
        <f>Ledger!C199</f>
        <v/>
      </c>
      <c r="C199" s="9">
        <f>Ledger!D199</f>
        <v/>
      </c>
      <c r="D199" s="10">
        <f>Ledger!E199</f>
        <v/>
      </c>
      <c r="E199" s="8">
        <f>Ledger!F199</f>
        <v/>
      </c>
      <c r="F199" s="9">
        <f>Ledger!G199</f>
        <v/>
      </c>
    </row>
    <row r="200">
      <c r="A200" s="9">
        <f>IF(Ledger!I200&lt;&gt;"Open","",IF(Ledger!F200&lt;=TODAY()+7,"Yes","-"))</f>
        <v/>
      </c>
      <c r="B200" s="9">
        <f>Ledger!C200</f>
        <v/>
      </c>
      <c r="C200" s="9">
        <f>Ledger!D200</f>
        <v/>
      </c>
      <c r="D200" s="10">
        <f>Ledger!E200</f>
        <v/>
      </c>
      <c r="E200" s="8">
        <f>Ledger!F200</f>
        <v/>
      </c>
      <c r="F200" s="9">
        <f>Ledger!G200</f>
        <v/>
      </c>
    </row>
    <row r="201">
      <c r="A201" s="9">
        <f>IF(Ledger!I201&lt;&gt;"Open","",IF(Ledger!F201&lt;=TODAY()+7,"Yes","-"))</f>
        <v/>
      </c>
      <c r="B201" s="9">
        <f>Ledger!C201</f>
        <v/>
      </c>
      <c r="C201" s="9">
        <f>Ledger!D201</f>
        <v/>
      </c>
      <c r="D201" s="10">
        <f>Ledger!E201</f>
        <v/>
      </c>
      <c r="E201" s="8">
        <f>Ledger!F201</f>
        <v/>
      </c>
      <c r="F201" s="9">
        <f>Ledger!G201</f>
        <v/>
      </c>
    </row>
    <row r="202">
      <c r="A202" s="9">
        <f>IF(Ledger!I202&lt;&gt;"Open","",IF(Ledger!F202&lt;=TODAY()+7,"Yes","-"))</f>
        <v/>
      </c>
      <c r="B202" s="9">
        <f>Ledger!C202</f>
        <v/>
      </c>
      <c r="C202" s="9">
        <f>Ledger!D202</f>
        <v/>
      </c>
      <c r="D202" s="10">
        <f>Ledger!E202</f>
        <v/>
      </c>
      <c r="E202" s="8">
        <f>Ledger!F202</f>
        <v/>
      </c>
      <c r="F202" s="9">
        <f>Ledger!G202</f>
        <v/>
      </c>
    </row>
    <row r="203">
      <c r="A203" s="9">
        <f>IF(Ledger!I203&lt;&gt;"Open","",IF(Ledger!F203&lt;=TODAY()+7,"Yes","-"))</f>
        <v/>
      </c>
      <c r="B203" s="9">
        <f>Ledger!C203</f>
        <v/>
      </c>
      <c r="C203" s="9">
        <f>Ledger!D203</f>
        <v/>
      </c>
      <c r="D203" s="10">
        <f>Ledger!E203</f>
        <v/>
      </c>
      <c r="E203" s="8">
        <f>Ledger!F203</f>
        <v/>
      </c>
      <c r="F203" s="9">
        <f>Ledger!G203</f>
        <v/>
      </c>
    </row>
    <row r="204">
      <c r="A204" s="9">
        <f>IF(Ledger!I204&lt;&gt;"Open","",IF(Ledger!F204&lt;=TODAY()+7,"Yes","-"))</f>
        <v/>
      </c>
      <c r="B204" s="9">
        <f>Ledger!C204</f>
        <v/>
      </c>
      <c r="C204" s="9">
        <f>Ledger!D204</f>
        <v/>
      </c>
      <c r="D204" s="10">
        <f>Ledger!E204</f>
        <v/>
      </c>
      <c r="E204" s="8">
        <f>Ledger!F204</f>
        <v/>
      </c>
      <c r="F204" s="9">
        <f>Ledger!G204</f>
        <v/>
      </c>
    </row>
    <row r="205">
      <c r="A205" s="9">
        <f>IF(Ledger!I205&lt;&gt;"Open","",IF(Ledger!F205&lt;=TODAY()+7,"Yes","-"))</f>
        <v/>
      </c>
      <c r="B205" s="9">
        <f>Ledger!C205</f>
        <v/>
      </c>
      <c r="C205" s="9">
        <f>Ledger!D205</f>
        <v/>
      </c>
      <c r="D205" s="10">
        <f>Ledger!E205</f>
        <v/>
      </c>
      <c r="E205" s="8">
        <f>Ledger!F205</f>
        <v/>
      </c>
      <c r="F205" s="9">
        <f>Ledger!G205</f>
        <v/>
      </c>
    </row>
    <row r="206">
      <c r="A206" s="9">
        <f>IF(Ledger!I206&lt;&gt;"Open","",IF(Ledger!F206&lt;=TODAY()+7,"Yes","-"))</f>
        <v/>
      </c>
      <c r="B206" s="9">
        <f>Ledger!C206</f>
        <v/>
      </c>
      <c r="C206" s="9">
        <f>Ledger!D206</f>
        <v/>
      </c>
      <c r="D206" s="10">
        <f>Ledger!E206</f>
        <v/>
      </c>
      <c r="E206" s="8">
        <f>Ledger!F206</f>
        <v/>
      </c>
      <c r="F206" s="9">
        <f>Ledger!G206</f>
        <v/>
      </c>
    </row>
    <row r="207">
      <c r="A207" s="9">
        <f>IF(Ledger!I207&lt;&gt;"Open","",IF(Ledger!F207&lt;=TODAY()+7,"Yes","-"))</f>
        <v/>
      </c>
      <c r="B207" s="9">
        <f>Ledger!C207</f>
        <v/>
      </c>
      <c r="C207" s="9">
        <f>Ledger!D207</f>
        <v/>
      </c>
      <c r="D207" s="10">
        <f>Ledger!E207</f>
        <v/>
      </c>
      <c r="E207" s="8">
        <f>Ledger!F207</f>
        <v/>
      </c>
      <c r="F207" s="9">
        <f>Ledger!G207</f>
        <v/>
      </c>
    </row>
    <row r="208">
      <c r="A208" s="9">
        <f>IF(Ledger!I208&lt;&gt;"Open","",IF(Ledger!F208&lt;=TODAY()+7,"Yes","-"))</f>
        <v/>
      </c>
      <c r="B208" s="9">
        <f>Ledger!C208</f>
        <v/>
      </c>
      <c r="C208" s="9">
        <f>Ledger!D208</f>
        <v/>
      </c>
      <c r="D208" s="10">
        <f>Ledger!E208</f>
        <v/>
      </c>
      <c r="E208" s="8">
        <f>Ledger!F208</f>
        <v/>
      </c>
      <c r="F208" s="9">
        <f>Ledger!G208</f>
        <v/>
      </c>
    </row>
    <row r="209">
      <c r="A209" s="9">
        <f>IF(Ledger!I209&lt;&gt;"Open","",IF(Ledger!F209&lt;=TODAY()+7,"Yes","-"))</f>
        <v/>
      </c>
      <c r="B209" s="9">
        <f>Ledger!C209</f>
        <v/>
      </c>
      <c r="C209" s="9">
        <f>Ledger!D209</f>
        <v/>
      </c>
      <c r="D209" s="10">
        <f>Ledger!E209</f>
        <v/>
      </c>
      <c r="E209" s="8">
        <f>Ledger!F209</f>
        <v/>
      </c>
      <c r="F209" s="9">
        <f>Ledger!G209</f>
        <v/>
      </c>
    </row>
    <row r="210">
      <c r="A210" s="9">
        <f>IF(Ledger!I210&lt;&gt;"Open","",IF(Ledger!F210&lt;=TODAY()+7,"Yes","-"))</f>
        <v/>
      </c>
      <c r="B210" s="9">
        <f>Ledger!C210</f>
        <v/>
      </c>
      <c r="C210" s="9">
        <f>Ledger!D210</f>
        <v/>
      </c>
      <c r="D210" s="10">
        <f>Ledger!E210</f>
        <v/>
      </c>
      <c r="E210" s="8">
        <f>Ledger!F210</f>
        <v/>
      </c>
      <c r="F210" s="9">
        <f>Ledger!G210</f>
        <v/>
      </c>
    </row>
    <row r="211">
      <c r="A211" s="9">
        <f>IF(Ledger!I211&lt;&gt;"Open","",IF(Ledger!F211&lt;=TODAY()+7,"Yes","-"))</f>
        <v/>
      </c>
      <c r="B211" s="9">
        <f>Ledger!C211</f>
        <v/>
      </c>
      <c r="C211" s="9">
        <f>Ledger!D211</f>
        <v/>
      </c>
      <c r="D211" s="10">
        <f>Ledger!E211</f>
        <v/>
      </c>
      <c r="E211" s="8">
        <f>Ledger!F211</f>
        <v/>
      </c>
      <c r="F211" s="9">
        <f>Ledger!G211</f>
        <v/>
      </c>
    </row>
    <row r="212">
      <c r="A212" s="9">
        <f>IF(Ledger!I212&lt;&gt;"Open","",IF(Ledger!F212&lt;=TODAY()+7,"Yes","-"))</f>
        <v/>
      </c>
      <c r="B212" s="9">
        <f>Ledger!C212</f>
        <v/>
      </c>
      <c r="C212" s="9">
        <f>Ledger!D212</f>
        <v/>
      </c>
      <c r="D212" s="10">
        <f>Ledger!E212</f>
        <v/>
      </c>
      <c r="E212" s="8">
        <f>Ledger!F212</f>
        <v/>
      </c>
      <c r="F212" s="9">
        <f>Ledger!G212</f>
        <v/>
      </c>
    </row>
    <row r="213">
      <c r="A213" s="9">
        <f>IF(Ledger!I213&lt;&gt;"Open","",IF(Ledger!F213&lt;=TODAY()+7,"Yes","-"))</f>
        <v/>
      </c>
      <c r="B213" s="9">
        <f>Ledger!C213</f>
        <v/>
      </c>
      <c r="C213" s="9">
        <f>Ledger!D213</f>
        <v/>
      </c>
      <c r="D213" s="10">
        <f>Ledger!E213</f>
        <v/>
      </c>
      <c r="E213" s="8">
        <f>Ledger!F213</f>
        <v/>
      </c>
      <c r="F213" s="9">
        <f>Ledger!G213</f>
        <v/>
      </c>
    </row>
    <row r="214">
      <c r="A214" s="9">
        <f>IF(Ledger!I214&lt;&gt;"Open","",IF(Ledger!F214&lt;=TODAY()+7,"Yes","-"))</f>
        <v/>
      </c>
      <c r="B214" s="9">
        <f>Ledger!C214</f>
        <v/>
      </c>
      <c r="C214" s="9">
        <f>Ledger!D214</f>
        <v/>
      </c>
      <c r="D214" s="10">
        <f>Ledger!E214</f>
        <v/>
      </c>
      <c r="E214" s="8">
        <f>Ledger!F214</f>
        <v/>
      </c>
      <c r="F214" s="9">
        <f>Ledger!G214</f>
        <v/>
      </c>
    </row>
    <row r="215">
      <c r="A215" s="9">
        <f>IF(Ledger!I215&lt;&gt;"Open","",IF(Ledger!F215&lt;=TODAY()+7,"Yes","-"))</f>
        <v/>
      </c>
      <c r="B215" s="9">
        <f>Ledger!C215</f>
        <v/>
      </c>
      <c r="C215" s="9">
        <f>Ledger!D215</f>
        <v/>
      </c>
      <c r="D215" s="10">
        <f>Ledger!E215</f>
        <v/>
      </c>
      <c r="E215" s="8">
        <f>Ledger!F215</f>
        <v/>
      </c>
      <c r="F215" s="9">
        <f>Ledger!G215</f>
        <v/>
      </c>
    </row>
    <row r="216">
      <c r="A216" s="9">
        <f>IF(Ledger!I216&lt;&gt;"Open","",IF(Ledger!F216&lt;=TODAY()+7,"Yes","-"))</f>
        <v/>
      </c>
      <c r="B216" s="9">
        <f>Ledger!C216</f>
        <v/>
      </c>
      <c r="C216" s="9">
        <f>Ledger!D216</f>
        <v/>
      </c>
      <c r="D216" s="10">
        <f>Ledger!E216</f>
        <v/>
      </c>
      <c r="E216" s="8">
        <f>Ledger!F216</f>
        <v/>
      </c>
      <c r="F216" s="9">
        <f>Ledger!G216</f>
        <v/>
      </c>
    </row>
    <row r="217">
      <c r="A217" s="9">
        <f>IF(Ledger!I217&lt;&gt;"Open","",IF(Ledger!F217&lt;=TODAY()+7,"Yes","-"))</f>
        <v/>
      </c>
      <c r="B217" s="9">
        <f>Ledger!C217</f>
        <v/>
      </c>
      <c r="C217" s="9">
        <f>Ledger!D217</f>
        <v/>
      </c>
      <c r="D217" s="10">
        <f>Ledger!E217</f>
        <v/>
      </c>
      <c r="E217" s="8">
        <f>Ledger!F217</f>
        <v/>
      </c>
      <c r="F217" s="9">
        <f>Ledger!G217</f>
        <v/>
      </c>
    </row>
    <row r="218">
      <c r="A218" s="9">
        <f>IF(Ledger!I218&lt;&gt;"Open","",IF(Ledger!F218&lt;=TODAY()+7,"Yes","-"))</f>
        <v/>
      </c>
      <c r="B218" s="9">
        <f>Ledger!C218</f>
        <v/>
      </c>
      <c r="C218" s="9">
        <f>Ledger!D218</f>
        <v/>
      </c>
      <c r="D218" s="10">
        <f>Ledger!E218</f>
        <v/>
      </c>
      <c r="E218" s="8">
        <f>Ledger!F218</f>
        <v/>
      </c>
      <c r="F218" s="9">
        <f>Ledger!G218</f>
        <v/>
      </c>
    </row>
    <row r="219">
      <c r="A219" s="9">
        <f>IF(Ledger!I219&lt;&gt;"Open","",IF(Ledger!F219&lt;=TODAY()+7,"Yes","-"))</f>
        <v/>
      </c>
      <c r="B219" s="9">
        <f>Ledger!C219</f>
        <v/>
      </c>
      <c r="C219" s="9">
        <f>Ledger!D219</f>
        <v/>
      </c>
      <c r="D219" s="10">
        <f>Ledger!E219</f>
        <v/>
      </c>
      <c r="E219" s="8">
        <f>Ledger!F219</f>
        <v/>
      </c>
      <c r="F219" s="9">
        <f>Ledger!G219</f>
        <v/>
      </c>
    </row>
    <row r="220">
      <c r="A220" s="9">
        <f>IF(Ledger!I220&lt;&gt;"Open","",IF(Ledger!F220&lt;=TODAY()+7,"Yes","-"))</f>
        <v/>
      </c>
      <c r="B220" s="9">
        <f>Ledger!C220</f>
        <v/>
      </c>
      <c r="C220" s="9">
        <f>Ledger!D220</f>
        <v/>
      </c>
      <c r="D220" s="10">
        <f>Ledger!E220</f>
        <v/>
      </c>
      <c r="E220" s="8">
        <f>Ledger!F220</f>
        <v/>
      </c>
      <c r="F220" s="9">
        <f>Ledger!G220</f>
        <v/>
      </c>
    </row>
    <row r="221">
      <c r="A221" s="9">
        <f>IF(Ledger!I221&lt;&gt;"Open","",IF(Ledger!F221&lt;=TODAY()+7,"Yes","-"))</f>
        <v/>
      </c>
      <c r="B221" s="9">
        <f>Ledger!C221</f>
        <v/>
      </c>
      <c r="C221" s="9">
        <f>Ledger!D221</f>
        <v/>
      </c>
      <c r="D221" s="10">
        <f>Ledger!E221</f>
        <v/>
      </c>
      <c r="E221" s="8">
        <f>Ledger!F221</f>
        <v/>
      </c>
      <c r="F221" s="9">
        <f>Ledger!G221</f>
        <v/>
      </c>
    </row>
    <row r="222">
      <c r="A222" s="9">
        <f>IF(Ledger!I222&lt;&gt;"Open","",IF(Ledger!F222&lt;=TODAY()+7,"Yes","-"))</f>
        <v/>
      </c>
      <c r="B222" s="9">
        <f>Ledger!C222</f>
        <v/>
      </c>
      <c r="C222" s="9">
        <f>Ledger!D222</f>
        <v/>
      </c>
      <c r="D222" s="10">
        <f>Ledger!E222</f>
        <v/>
      </c>
      <c r="E222" s="8">
        <f>Ledger!F222</f>
        <v/>
      </c>
      <c r="F222" s="9">
        <f>Ledger!G222</f>
        <v/>
      </c>
    </row>
    <row r="223">
      <c r="A223" s="9">
        <f>IF(Ledger!I223&lt;&gt;"Open","",IF(Ledger!F223&lt;=TODAY()+7,"Yes","-"))</f>
        <v/>
      </c>
      <c r="B223" s="9">
        <f>Ledger!C223</f>
        <v/>
      </c>
      <c r="C223" s="9">
        <f>Ledger!D223</f>
        <v/>
      </c>
      <c r="D223" s="10">
        <f>Ledger!E223</f>
        <v/>
      </c>
      <c r="E223" s="8">
        <f>Ledger!F223</f>
        <v/>
      </c>
      <c r="F223" s="9">
        <f>Ledger!G223</f>
        <v/>
      </c>
    </row>
    <row r="224">
      <c r="A224" s="9">
        <f>IF(Ledger!I224&lt;&gt;"Open","",IF(Ledger!F224&lt;=TODAY()+7,"Yes","-"))</f>
        <v/>
      </c>
      <c r="B224" s="9">
        <f>Ledger!C224</f>
        <v/>
      </c>
      <c r="C224" s="9">
        <f>Ledger!D224</f>
        <v/>
      </c>
      <c r="D224" s="10">
        <f>Ledger!E224</f>
        <v/>
      </c>
      <c r="E224" s="8">
        <f>Ledger!F224</f>
        <v/>
      </c>
      <c r="F224" s="9">
        <f>Ledger!G224</f>
        <v/>
      </c>
    </row>
    <row r="225">
      <c r="A225" s="9">
        <f>IF(Ledger!I225&lt;&gt;"Open","",IF(Ledger!F225&lt;=TODAY()+7,"Yes","-"))</f>
        <v/>
      </c>
      <c r="B225" s="9">
        <f>Ledger!C225</f>
        <v/>
      </c>
      <c r="C225" s="9">
        <f>Ledger!D225</f>
        <v/>
      </c>
      <c r="D225" s="10">
        <f>Ledger!E225</f>
        <v/>
      </c>
      <c r="E225" s="8">
        <f>Ledger!F225</f>
        <v/>
      </c>
      <c r="F225" s="9">
        <f>Ledger!G225</f>
        <v/>
      </c>
    </row>
    <row r="226">
      <c r="A226" s="9">
        <f>IF(Ledger!I226&lt;&gt;"Open","",IF(Ledger!F226&lt;=TODAY()+7,"Yes","-"))</f>
        <v/>
      </c>
      <c r="B226" s="9">
        <f>Ledger!C226</f>
        <v/>
      </c>
      <c r="C226" s="9">
        <f>Ledger!D226</f>
        <v/>
      </c>
      <c r="D226" s="10">
        <f>Ledger!E226</f>
        <v/>
      </c>
      <c r="E226" s="8">
        <f>Ledger!F226</f>
        <v/>
      </c>
      <c r="F226" s="9">
        <f>Ledger!G226</f>
        <v/>
      </c>
    </row>
    <row r="227">
      <c r="A227" s="9">
        <f>IF(Ledger!I227&lt;&gt;"Open","",IF(Ledger!F227&lt;=TODAY()+7,"Yes","-"))</f>
        <v/>
      </c>
      <c r="B227" s="9">
        <f>Ledger!C227</f>
        <v/>
      </c>
      <c r="C227" s="9">
        <f>Ledger!D227</f>
        <v/>
      </c>
      <c r="D227" s="10">
        <f>Ledger!E227</f>
        <v/>
      </c>
      <c r="E227" s="8">
        <f>Ledger!F227</f>
        <v/>
      </c>
      <c r="F227" s="9">
        <f>Ledger!G227</f>
        <v/>
      </c>
    </row>
    <row r="228">
      <c r="A228" s="9">
        <f>IF(Ledger!I228&lt;&gt;"Open","",IF(Ledger!F228&lt;=TODAY()+7,"Yes","-"))</f>
        <v/>
      </c>
      <c r="B228" s="9">
        <f>Ledger!C228</f>
        <v/>
      </c>
      <c r="C228" s="9">
        <f>Ledger!D228</f>
        <v/>
      </c>
      <c r="D228" s="10">
        <f>Ledger!E228</f>
        <v/>
      </c>
      <c r="E228" s="8">
        <f>Ledger!F228</f>
        <v/>
      </c>
      <c r="F228" s="9">
        <f>Ledger!G228</f>
        <v/>
      </c>
    </row>
    <row r="229">
      <c r="A229" s="9">
        <f>IF(Ledger!I229&lt;&gt;"Open","",IF(Ledger!F229&lt;=TODAY()+7,"Yes","-"))</f>
        <v/>
      </c>
      <c r="B229" s="9">
        <f>Ledger!C229</f>
        <v/>
      </c>
      <c r="C229" s="9">
        <f>Ledger!D229</f>
        <v/>
      </c>
      <c r="D229" s="10">
        <f>Ledger!E229</f>
        <v/>
      </c>
      <c r="E229" s="8">
        <f>Ledger!F229</f>
        <v/>
      </c>
      <c r="F229" s="9">
        <f>Ledger!G229</f>
        <v/>
      </c>
    </row>
    <row r="230">
      <c r="A230" s="9">
        <f>IF(Ledger!I230&lt;&gt;"Open","",IF(Ledger!F230&lt;=TODAY()+7,"Yes","-"))</f>
        <v/>
      </c>
      <c r="B230" s="9">
        <f>Ledger!C230</f>
        <v/>
      </c>
      <c r="C230" s="9">
        <f>Ledger!D230</f>
        <v/>
      </c>
      <c r="D230" s="10">
        <f>Ledger!E230</f>
        <v/>
      </c>
      <c r="E230" s="8">
        <f>Ledger!F230</f>
        <v/>
      </c>
      <c r="F230" s="9">
        <f>Ledger!G230</f>
        <v/>
      </c>
    </row>
    <row r="231">
      <c r="A231" s="9">
        <f>IF(Ledger!I231&lt;&gt;"Open","",IF(Ledger!F231&lt;=TODAY()+7,"Yes","-"))</f>
        <v/>
      </c>
      <c r="B231" s="9">
        <f>Ledger!C231</f>
        <v/>
      </c>
      <c r="C231" s="9">
        <f>Ledger!D231</f>
        <v/>
      </c>
      <c r="D231" s="10">
        <f>Ledger!E231</f>
        <v/>
      </c>
      <c r="E231" s="8">
        <f>Ledger!F231</f>
        <v/>
      </c>
      <c r="F231" s="9">
        <f>Ledger!G231</f>
        <v/>
      </c>
    </row>
    <row r="232">
      <c r="A232" s="9">
        <f>IF(Ledger!I232&lt;&gt;"Open","",IF(Ledger!F232&lt;=TODAY()+7,"Yes","-"))</f>
        <v/>
      </c>
      <c r="B232" s="9">
        <f>Ledger!C232</f>
        <v/>
      </c>
      <c r="C232" s="9">
        <f>Ledger!D232</f>
        <v/>
      </c>
      <c r="D232" s="10">
        <f>Ledger!E232</f>
        <v/>
      </c>
      <c r="E232" s="8">
        <f>Ledger!F232</f>
        <v/>
      </c>
      <c r="F232" s="9">
        <f>Ledger!G232</f>
        <v/>
      </c>
    </row>
    <row r="233">
      <c r="A233" s="9">
        <f>IF(Ledger!I233&lt;&gt;"Open","",IF(Ledger!F233&lt;=TODAY()+7,"Yes","-"))</f>
        <v/>
      </c>
      <c r="B233" s="9">
        <f>Ledger!C233</f>
        <v/>
      </c>
      <c r="C233" s="9">
        <f>Ledger!D233</f>
        <v/>
      </c>
      <c r="D233" s="10">
        <f>Ledger!E233</f>
        <v/>
      </c>
      <c r="E233" s="8">
        <f>Ledger!F233</f>
        <v/>
      </c>
      <c r="F233" s="9">
        <f>Ledger!G233</f>
        <v/>
      </c>
    </row>
    <row r="234">
      <c r="A234" s="9">
        <f>IF(Ledger!I234&lt;&gt;"Open","",IF(Ledger!F234&lt;=TODAY()+7,"Yes","-"))</f>
        <v/>
      </c>
      <c r="B234" s="9">
        <f>Ledger!C234</f>
        <v/>
      </c>
      <c r="C234" s="9">
        <f>Ledger!D234</f>
        <v/>
      </c>
      <c r="D234" s="10">
        <f>Ledger!E234</f>
        <v/>
      </c>
      <c r="E234" s="8">
        <f>Ledger!F234</f>
        <v/>
      </c>
      <c r="F234" s="9">
        <f>Ledger!G234</f>
        <v/>
      </c>
    </row>
    <row r="235">
      <c r="A235" s="9">
        <f>IF(Ledger!I235&lt;&gt;"Open","",IF(Ledger!F235&lt;=TODAY()+7,"Yes","-"))</f>
        <v/>
      </c>
      <c r="B235" s="9">
        <f>Ledger!C235</f>
        <v/>
      </c>
      <c r="C235" s="9">
        <f>Ledger!D235</f>
        <v/>
      </c>
      <c r="D235" s="10">
        <f>Ledger!E235</f>
        <v/>
      </c>
      <c r="E235" s="8">
        <f>Ledger!F235</f>
        <v/>
      </c>
      <c r="F235" s="9">
        <f>Ledger!G235</f>
        <v/>
      </c>
    </row>
    <row r="236">
      <c r="A236" s="9">
        <f>IF(Ledger!I236&lt;&gt;"Open","",IF(Ledger!F236&lt;=TODAY()+7,"Yes","-"))</f>
        <v/>
      </c>
      <c r="B236" s="9">
        <f>Ledger!C236</f>
        <v/>
      </c>
      <c r="C236" s="9">
        <f>Ledger!D236</f>
        <v/>
      </c>
      <c r="D236" s="10">
        <f>Ledger!E236</f>
        <v/>
      </c>
      <c r="E236" s="8">
        <f>Ledger!F236</f>
        <v/>
      </c>
      <c r="F236" s="9">
        <f>Ledger!G236</f>
        <v/>
      </c>
    </row>
    <row r="237">
      <c r="A237" s="9">
        <f>IF(Ledger!I237&lt;&gt;"Open","",IF(Ledger!F237&lt;=TODAY()+7,"Yes","-"))</f>
        <v/>
      </c>
      <c r="B237" s="9">
        <f>Ledger!C237</f>
        <v/>
      </c>
      <c r="C237" s="9">
        <f>Ledger!D237</f>
        <v/>
      </c>
      <c r="D237" s="10">
        <f>Ledger!E237</f>
        <v/>
      </c>
      <c r="E237" s="8">
        <f>Ledger!F237</f>
        <v/>
      </c>
      <c r="F237" s="9">
        <f>Ledger!G237</f>
        <v/>
      </c>
    </row>
    <row r="238">
      <c r="A238" s="9">
        <f>IF(Ledger!I238&lt;&gt;"Open","",IF(Ledger!F238&lt;=TODAY()+7,"Yes","-"))</f>
        <v/>
      </c>
      <c r="B238" s="9">
        <f>Ledger!C238</f>
        <v/>
      </c>
      <c r="C238" s="9">
        <f>Ledger!D238</f>
        <v/>
      </c>
      <c r="D238" s="10">
        <f>Ledger!E238</f>
        <v/>
      </c>
      <c r="E238" s="8">
        <f>Ledger!F238</f>
        <v/>
      </c>
      <c r="F238" s="9">
        <f>Ledger!G238</f>
        <v/>
      </c>
    </row>
    <row r="239">
      <c r="A239" s="9">
        <f>IF(Ledger!I239&lt;&gt;"Open","",IF(Ledger!F239&lt;=TODAY()+7,"Yes","-"))</f>
        <v/>
      </c>
      <c r="B239" s="9">
        <f>Ledger!C239</f>
        <v/>
      </c>
      <c r="C239" s="9">
        <f>Ledger!D239</f>
        <v/>
      </c>
      <c r="D239" s="10">
        <f>Ledger!E239</f>
        <v/>
      </c>
      <c r="E239" s="8">
        <f>Ledger!F239</f>
        <v/>
      </c>
      <c r="F239" s="9">
        <f>Ledger!G239</f>
        <v/>
      </c>
    </row>
    <row r="240">
      <c r="A240" s="9">
        <f>IF(Ledger!I240&lt;&gt;"Open","",IF(Ledger!F240&lt;=TODAY()+7,"Yes","-"))</f>
        <v/>
      </c>
      <c r="B240" s="9">
        <f>Ledger!C240</f>
        <v/>
      </c>
      <c r="C240" s="9">
        <f>Ledger!D240</f>
        <v/>
      </c>
      <c r="D240" s="10">
        <f>Ledger!E240</f>
        <v/>
      </c>
      <c r="E240" s="8">
        <f>Ledger!F240</f>
        <v/>
      </c>
      <c r="F240" s="9">
        <f>Ledger!G240</f>
        <v/>
      </c>
    </row>
    <row r="241">
      <c r="A241" s="9">
        <f>IF(Ledger!I241&lt;&gt;"Open","",IF(Ledger!F241&lt;=TODAY()+7,"Yes","-"))</f>
        <v/>
      </c>
      <c r="B241" s="9">
        <f>Ledger!C241</f>
        <v/>
      </c>
      <c r="C241" s="9">
        <f>Ledger!D241</f>
        <v/>
      </c>
      <c r="D241" s="10">
        <f>Ledger!E241</f>
        <v/>
      </c>
      <c r="E241" s="8">
        <f>Ledger!F241</f>
        <v/>
      </c>
      <c r="F241" s="9">
        <f>Ledger!G241</f>
        <v/>
      </c>
    </row>
    <row r="242">
      <c r="A242" s="9">
        <f>IF(Ledger!I242&lt;&gt;"Open","",IF(Ledger!F242&lt;=TODAY()+7,"Yes","-"))</f>
        <v/>
      </c>
      <c r="B242" s="9">
        <f>Ledger!C242</f>
        <v/>
      </c>
      <c r="C242" s="9">
        <f>Ledger!D242</f>
        <v/>
      </c>
      <c r="D242" s="10">
        <f>Ledger!E242</f>
        <v/>
      </c>
      <c r="E242" s="8">
        <f>Ledger!F242</f>
        <v/>
      </c>
      <c r="F242" s="9">
        <f>Ledger!G242</f>
        <v/>
      </c>
    </row>
    <row r="243">
      <c r="A243" s="9">
        <f>IF(Ledger!I243&lt;&gt;"Open","",IF(Ledger!F243&lt;=TODAY()+7,"Yes","-"))</f>
        <v/>
      </c>
      <c r="B243" s="9">
        <f>Ledger!C243</f>
        <v/>
      </c>
      <c r="C243" s="9">
        <f>Ledger!D243</f>
        <v/>
      </c>
      <c r="D243" s="10">
        <f>Ledger!E243</f>
        <v/>
      </c>
      <c r="E243" s="8">
        <f>Ledger!F243</f>
        <v/>
      </c>
      <c r="F243" s="9">
        <f>Ledger!G243</f>
        <v/>
      </c>
    </row>
    <row r="244">
      <c r="A244" s="9">
        <f>IF(Ledger!I244&lt;&gt;"Open","",IF(Ledger!F244&lt;=TODAY()+7,"Yes","-"))</f>
        <v/>
      </c>
      <c r="B244" s="9">
        <f>Ledger!C244</f>
        <v/>
      </c>
      <c r="C244" s="9">
        <f>Ledger!D244</f>
        <v/>
      </c>
      <c r="D244" s="10">
        <f>Ledger!E244</f>
        <v/>
      </c>
      <c r="E244" s="8">
        <f>Ledger!F244</f>
        <v/>
      </c>
      <c r="F244" s="9">
        <f>Ledger!G244</f>
        <v/>
      </c>
    </row>
    <row r="245">
      <c r="A245" s="9">
        <f>IF(Ledger!I245&lt;&gt;"Open","",IF(Ledger!F245&lt;=TODAY()+7,"Yes","-"))</f>
        <v/>
      </c>
      <c r="B245" s="9">
        <f>Ledger!C245</f>
        <v/>
      </c>
      <c r="C245" s="9">
        <f>Ledger!D245</f>
        <v/>
      </c>
      <c r="D245" s="10">
        <f>Ledger!E245</f>
        <v/>
      </c>
      <c r="E245" s="8">
        <f>Ledger!F245</f>
        <v/>
      </c>
      <c r="F245" s="9">
        <f>Ledger!G245</f>
        <v/>
      </c>
    </row>
    <row r="246">
      <c r="A246" s="9">
        <f>IF(Ledger!I246&lt;&gt;"Open","",IF(Ledger!F246&lt;=TODAY()+7,"Yes","-"))</f>
        <v/>
      </c>
      <c r="B246" s="9">
        <f>Ledger!C246</f>
        <v/>
      </c>
      <c r="C246" s="9">
        <f>Ledger!D246</f>
        <v/>
      </c>
      <c r="D246" s="10">
        <f>Ledger!E246</f>
        <v/>
      </c>
      <c r="E246" s="8">
        <f>Ledger!F246</f>
        <v/>
      </c>
      <c r="F246" s="9">
        <f>Ledger!G246</f>
        <v/>
      </c>
    </row>
    <row r="247">
      <c r="A247" s="9">
        <f>IF(Ledger!I247&lt;&gt;"Open","",IF(Ledger!F247&lt;=TODAY()+7,"Yes","-"))</f>
        <v/>
      </c>
      <c r="B247" s="9">
        <f>Ledger!C247</f>
        <v/>
      </c>
      <c r="C247" s="9">
        <f>Ledger!D247</f>
        <v/>
      </c>
      <c r="D247" s="10">
        <f>Ledger!E247</f>
        <v/>
      </c>
      <c r="E247" s="8">
        <f>Ledger!F247</f>
        <v/>
      </c>
      <c r="F247" s="9">
        <f>Ledger!G247</f>
        <v/>
      </c>
    </row>
    <row r="248">
      <c r="A248" s="9">
        <f>IF(Ledger!I248&lt;&gt;"Open","",IF(Ledger!F248&lt;=TODAY()+7,"Yes","-"))</f>
        <v/>
      </c>
      <c r="B248" s="9">
        <f>Ledger!C248</f>
        <v/>
      </c>
      <c r="C248" s="9">
        <f>Ledger!D248</f>
        <v/>
      </c>
      <c r="D248" s="10">
        <f>Ledger!E248</f>
        <v/>
      </c>
      <c r="E248" s="8">
        <f>Ledger!F248</f>
        <v/>
      </c>
      <c r="F248" s="9">
        <f>Ledger!G248</f>
        <v/>
      </c>
    </row>
    <row r="249">
      <c r="A249" s="9">
        <f>IF(Ledger!I249&lt;&gt;"Open","",IF(Ledger!F249&lt;=TODAY()+7,"Yes","-"))</f>
        <v/>
      </c>
      <c r="B249" s="9">
        <f>Ledger!C249</f>
        <v/>
      </c>
      <c r="C249" s="9">
        <f>Ledger!D249</f>
        <v/>
      </c>
      <c r="D249" s="10">
        <f>Ledger!E249</f>
        <v/>
      </c>
      <c r="E249" s="8">
        <f>Ledger!F249</f>
        <v/>
      </c>
      <c r="F249" s="9">
        <f>Ledger!G249</f>
        <v/>
      </c>
    </row>
    <row r="250">
      <c r="A250" s="9">
        <f>IF(Ledger!I250&lt;&gt;"Open","",IF(Ledger!F250&lt;=TODAY()+7,"Yes","-"))</f>
        <v/>
      </c>
      <c r="B250" s="9">
        <f>Ledger!C250</f>
        <v/>
      </c>
      <c r="C250" s="9">
        <f>Ledger!D250</f>
        <v/>
      </c>
      <c r="D250" s="10">
        <f>Ledger!E250</f>
        <v/>
      </c>
      <c r="E250" s="8">
        <f>Ledger!F250</f>
        <v/>
      </c>
      <c r="F250" s="9">
        <f>Ledger!G250</f>
        <v/>
      </c>
    </row>
    <row r="251">
      <c r="A251" s="9">
        <f>IF(Ledger!I251&lt;&gt;"Open","",IF(Ledger!F251&lt;=TODAY()+7,"Yes","-"))</f>
        <v/>
      </c>
      <c r="B251" s="9">
        <f>Ledger!C251</f>
        <v/>
      </c>
      <c r="C251" s="9">
        <f>Ledger!D251</f>
        <v/>
      </c>
      <c r="D251" s="10">
        <f>Ledger!E251</f>
        <v/>
      </c>
      <c r="E251" s="8">
        <f>Ledger!F251</f>
        <v/>
      </c>
      <c r="F251" s="9">
        <f>Ledger!G251</f>
        <v/>
      </c>
    </row>
    <row r="252">
      <c r="A252" s="9">
        <f>IF(Ledger!I252&lt;&gt;"Open","",IF(Ledger!F252&lt;=TODAY()+7,"Yes","-"))</f>
        <v/>
      </c>
      <c r="B252" s="9">
        <f>Ledger!C252</f>
        <v/>
      </c>
      <c r="C252" s="9">
        <f>Ledger!D252</f>
        <v/>
      </c>
      <c r="D252" s="10">
        <f>Ledger!E252</f>
        <v/>
      </c>
      <c r="E252" s="8">
        <f>Ledger!F252</f>
        <v/>
      </c>
      <c r="F252" s="9">
        <f>Ledger!G252</f>
        <v/>
      </c>
    </row>
    <row r="253">
      <c r="A253" s="9">
        <f>IF(Ledger!I253&lt;&gt;"Open","",IF(Ledger!F253&lt;=TODAY()+7,"Yes","-"))</f>
        <v/>
      </c>
      <c r="B253" s="9">
        <f>Ledger!C253</f>
        <v/>
      </c>
      <c r="C253" s="9">
        <f>Ledger!D253</f>
        <v/>
      </c>
      <c r="D253" s="10">
        <f>Ledger!E253</f>
        <v/>
      </c>
      <c r="E253" s="8">
        <f>Ledger!F253</f>
        <v/>
      </c>
      <c r="F253" s="9">
        <f>Ledger!G253</f>
        <v/>
      </c>
    </row>
    <row r="254">
      <c r="A254" s="9">
        <f>IF(Ledger!I254&lt;&gt;"Open","",IF(Ledger!F254&lt;=TODAY()+7,"Yes","-"))</f>
        <v/>
      </c>
      <c r="B254" s="9">
        <f>Ledger!C254</f>
        <v/>
      </c>
      <c r="C254" s="9">
        <f>Ledger!D254</f>
        <v/>
      </c>
      <c r="D254" s="10">
        <f>Ledger!E254</f>
        <v/>
      </c>
      <c r="E254" s="8">
        <f>Ledger!F254</f>
        <v/>
      </c>
      <c r="F254" s="9">
        <f>Ledger!G254</f>
        <v/>
      </c>
    </row>
    <row r="255">
      <c r="A255" s="9">
        <f>IF(Ledger!I255&lt;&gt;"Open","",IF(Ledger!F255&lt;=TODAY()+7,"Yes","-"))</f>
        <v/>
      </c>
      <c r="B255" s="9">
        <f>Ledger!C255</f>
        <v/>
      </c>
      <c r="C255" s="9">
        <f>Ledger!D255</f>
        <v/>
      </c>
      <c r="D255" s="10">
        <f>Ledger!E255</f>
        <v/>
      </c>
      <c r="E255" s="8">
        <f>Ledger!F255</f>
        <v/>
      </c>
      <c r="F255" s="9">
        <f>Ledger!G255</f>
        <v/>
      </c>
    </row>
    <row r="256">
      <c r="A256" s="9">
        <f>IF(Ledger!I256&lt;&gt;"Open","",IF(Ledger!F256&lt;=TODAY()+7,"Yes","-"))</f>
        <v/>
      </c>
      <c r="B256" s="9">
        <f>Ledger!C256</f>
        <v/>
      </c>
      <c r="C256" s="9">
        <f>Ledger!D256</f>
        <v/>
      </c>
      <c r="D256" s="10">
        <f>Ledger!E256</f>
        <v/>
      </c>
      <c r="E256" s="8">
        <f>Ledger!F256</f>
        <v/>
      </c>
      <c r="F256" s="9">
        <f>Ledger!G256</f>
        <v/>
      </c>
    </row>
    <row r="257">
      <c r="A257" s="9">
        <f>IF(Ledger!I257&lt;&gt;"Open","",IF(Ledger!F257&lt;=TODAY()+7,"Yes","-"))</f>
        <v/>
      </c>
      <c r="B257" s="9">
        <f>Ledger!C257</f>
        <v/>
      </c>
      <c r="C257" s="9">
        <f>Ledger!D257</f>
        <v/>
      </c>
      <c r="D257" s="10">
        <f>Ledger!E257</f>
        <v/>
      </c>
      <c r="E257" s="8">
        <f>Ledger!F257</f>
        <v/>
      </c>
      <c r="F257" s="9">
        <f>Ledger!G257</f>
        <v/>
      </c>
    </row>
    <row r="258">
      <c r="A258" s="9">
        <f>IF(Ledger!I258&lt;&gt;"Open","",IF(Ledger!F258&lt;=TODAY()+7,"Yes","-"))</f>
        <v/>
      </c>
      <c r="B258" s="9">
        <f>Ledger!C258</f>
        <v/>
      </c>
      <c r="C258" s="9">
        <f>Ledger!D258</f>
        <v/>
      </c>
      <c r="D258" s="10">
        <f>Ledger!E258</f>
        <v/>
      </c>
      <c r="E258" s="8">
        <f>Ledger!F258</f>
        <v/>
      </c>
      <c r="F258" s="9">
        <f>Ledger!G258</f>
        <v/>
      </c>
    </row>
    <row r="259">
      <c r="A259" s="9">
        <f>IF(Ledger!I259&lt;&gt;"Open","",IF(Ledger!F259&lt;=TODAY()+7,"Yes","-"))</f>
        <v/>
      </c>
      <c r="B259" s="9">
        <f>Ledger!C259</f>
        <v/>
      </c>
      <c r="C259" s="9">
        <f>Ledger!D259</f>
        <v/>
      </c>
      <c r="D259" s="10">
        <f>Ledger!E259</f>
        <v/>
      </c>
      <c r="E259" s="8">
        <f>Ledger!F259</f>
        <v/>
      </c>
      <c r="F259" s="9">
        <f>Ledger!G259</f>
        <v/>
      </c>
    </row>
    <row r="260">
      <c r="A260" s="9">
        <f>IF(Ledger!I260&lt;&gt;"Open","",IF(Ledger!F260&lt;=TODAY()+7,"Yes","-"))</f>
        <v/>
      </c>
      <c r="B260" s="9">
        <f>Ledger!C260</f>
        <v/>
      </c>
      <c r="C260" s="9">
        <f>Ledger!D260</f>
        <v/>
      </c>
      <c r="D260" s="10">
        <f>Ledger!E260</f>
        <v/>
      </c>
      <c r="E260" s="8">
        <f>Ledger!F260</f>
        <v/>
      </c>
      <c r="F260" s="9">
        <f>Ledger!G260</f>
        <v/>
      </c>
    </row>
    <row r="261">
      <c r="A261" s="9">
        <f>IF(Ledger!I261&lt;&gt;"Open","",IF(Ledger!F261&lt;=TODAY()+7,"Yes","-"))</f>
        <v/>
      </c>
      <c r="B261" s="9">
        <f>Ledger!C261</f>
        <v/>
      </c>
      <c r="C261" s="9">
        <f>Ledger!D261</f>
        <v/>
      </c>
      <c r="D261" s="10">
        <f>Ledger!E261</f>
        <v/>
      </c>
      <c r="E261" s="8">
        <f>Ledger!F261</f>
        <v/>
      </c>
      <c r="F261" s="9">
        <f>Ledger!G261</f>
        <v/>
      </c>
    </row>
    <row r="262">
      <c r="A262" s="9">
        <f>IF(Ledger!I262&lt;&gt;"Open","",IF(Ledger!F262&lt;=TODAY()+7,"Yes","-"))</f>
        <v/>
      </c>
      <c r="B262" s="9">
        <f>Ledger!C262</f>
        <v/>
      </c>
      <c r="C262" s="9">
        <f>Ledger!D262</f>
        <v/>
      </c>
      <c r="D262" s="10">
        <f>Ledger!E262</f>
        <v/>
      </c>
      <c r="E262" s="8">
        <f>Ledger!F262</f>
        <v/>
      </c>
      <c r="F262" s="9">
        <f>Ledger!G262</f>
        <v/>
      </c>
    </row>
    <row r="263">
      <c r="A263" s="9">
        <f>IF(Ledger!I263&lt;&gt;"Open","",IF(Ledger!F263&lt;=TODAY()+7,"Yes","-"))</f>
        <v/>
      </c>
      <c r="B263" s="9">
        <f>Ledger!C263</f>
        <v/>
      </c>
      <c r="C263" s="9">
        <f>Ledger!D263</f>
        <v/>
      </c>
      <c r="D263" s="10">
        <f>Ledger!E263</f>
        <v/>
      </c>
      <c r="E263" s="8">
        <f>Ledger!F263</f>
        <v/>
      </c>
      <c r="F263" s="9">
        <f>Ledger!G263</f>
        <v/>
      </c>
    </row>
    <row r="264">
      <c r="A264" s="9">
        <f>IF(Ledger!I264&lt;&gt;"Open","",IF(Ledger!F264&lt;=TODAY()+7,"Yes","-"))</f>
        <v/>
      </c>
      <c r="B264" s="9">
        <f>Ledger!C264</f>
        <v/>
      </c>
      <c r="C264" s="9">
        <f>Ledger!D264</f>
        <v/>
      </c>
      <c r="D264" s="10">
        <f>Ledger!E264</f>
        <v/>
      </c>
      <c r="E264" s="8">
        <f>Ledger!F264</f>
        <v/>
      </c>
      <c r="F264" s="9">
        <f>Ledger!G264</f>
        <v/>
      </c>
    </row>
    <row r="265">
      <c r="A265" s="9">
        <f>IF(Ledger!I265&lt;&gt;"Open","",IF(Ledger!F265&lt;=TODAY()+7,"Yes","-"))</f>
        <v/>
      </c>
      <c r="B265" s="9">
        <f>Ledger!C265</f>
        <v/>
      </c>
      <c r="C265" s="9">
        <f>Ledger!D265</f>
        <v/>
      </c>
      <c r="D265" s="10">
        <f>Ledger!E265</f>
        <v/>
      </c>
      <c r="E265" s="8">
        <f>Ledger!F265</f>
        <v/>
      </c>
      <c r="F265" s="9">
        <f>Ledger!G265</f>
        <v/>
      </c>
    </row>
    <row r="266">
      <c r="A266" s="9">
        <f>IF(Ledger!I266&lt;&gt;"Open","",IF(Ledger!F266&lt;=TODAY()+7,"Yes","-"))</f>
        <v/>
      </c>
      <c r="B266" s="9">
        <f>Ledger!C266</f>
        <v/>
      </c>
      <c r="C266" s="9">
        <f>Ledger!D266</f>
        <v/>
      </c>
      <c r="D266" s="10">
        <f>Ledger!E266</f>
        <v/>
      </c>
      <c r="E266" s="8">
        <f>Ledger!F266</f>
        <v/>
      </c>
      <c r="F266" s="9">
        <f>Ledger!G266</f>
        <v/>
      </c>
    </row>
    <row r="267">
      <c r="A267" s="9">
        <f>IF(Ledger!I267&lt;&gt;"Open","",IF(Ledger!F267&lt;=TODAY()+7,"Yes","-"))</f>
        <v/>
      </c>
      <c r="B267" s="9">
        <f>Ledger!C267</f>
        <v/>
      </c>
      <c r="C267" s="9">
        <f>Ledger!D267</f>
        <v/>
      </c>
      <c r="D267" s="10">
        <f>Ledger!E267</f>
        <v/>
      </c>
      <c r="E267" s="8">
        <f>Ledger!F267</f>
        <v/>
      </c>
      <c r="F267" s="9">
        <f>Ledger!G267</f>
        <v/>
      </c>
    </row>
    <row r="268">
      <c r="A268" s="9">
        <f>IF(Ledger!I268&lt;&gt;"Open","",IF(Ledger!F268&lt;=TODAY()+7,"Yes","-"))</f>
        <v/>
      </c>
      <c r="B268" s="9">
        <f>Ledger!C268</f>
        <v/>
      </c>
      <c r="C268" s="9">
        <f>Ledger!D268</f>
        <v/>
      </c>
      <c r="D268" s="10">
        <f>Ledger!E268</f>
        <v/>
      </c>
      <c r="E268" s="8">
        <f>Ledger!F268</f>
        <v/>
      </c>
      <c r="F268" s="9">
        <f>Ledger!G268</f>
        <v/>
      </c>
    </row>
    <row r="269">
      <c r="A269" s="9">
        <f>IF(Ledger!I269&lt;&gt;"Open","",IF(Ledger!F269&lt;=TODAY()+7,"Yes","-"))</f>
        <v/>
      </c>
      <c r="B269" s="9">
        <f>Ledger!C269</f>
        <v/>
      </c>
      <c r="C269" s="9">
        <f>Ledger!D269</f>
        <v/>
      </c>
      <c r="D269" s="10">
        <f>Ledger!E269</f>
        <v/>
      </c>
      <c r="E269" s="8">
        <f>Ledger!F269</f>
        <v/>
      </c>
      <c r="F269" s="9">
        <f>Ledger!G269</f>
        <v/>
      </c>
    </row>
    <row r="270">
      <c r="A270" s="9">
        <f>IF(Ledger!I270&lt;&gt;"Open","",IF(Ledger!F270&lt;=TODAY()+7,"Yes","-"))</f>
        <v/>
      </c>
      <c r="B270" s="9">
        <f>Ledger!C270</f>
        <v/>
      </c>
      <c r="C270" s="9">
        <f>Ledger!D270</f>
        <v/>
      </c>
      <c r="D270" s="10">
        <f>Ledger!E270</f>
        <v/>
      </c>
      <c r="E270" s="8">
        <f>Ledger!F270</f>
        <v/>
      </c>
      <c r="F270" s="9">
        <f>Ledger!G270</f>
        <v/>
      </c>
    </row>
    <row r="271">
      <c r="A271" s="9">
        <f>IF(Ledger!I271&lt;&gt;"Open","",IF(Ledger!F271&lt;=TODAY()+7,"Yes","-"))</f>
        <v/>
      </c>
      <c r="B271" s="9">
        <f>Ledger!C271</f>
        <v/>
      </c>
      <c r="C271" s="9">
        <f>Ledger!D271</f>
        <v/>
      </c>
      <c r="D271" s="10">
        <f>Ledger!E271</f>
        <v/>
      </c>
      <c r="E271" s="8">
        <f>Ledger!F271</f>
        <v/>
      </c>
      <c r="F271" s="9">
        <f>Ledger!G271</f>
        <v/>
      </c>
    </row>
    <row r="272">
      <c r="A272" s="9">
        <f>IF(Ledger!I272&lt;&gt;"Open","",IF(Ledger!F272&lt;=TODAY()+7,"Yes","-"))</f>
        <v/>
      </c>
      <c r="B272" s="9">
        <f>Ledger!C272</f>
        <v/>
      </c>
      <c r="C272" s="9">
        <f>Ledger!D272</f>
        <v/>
      </c>
      <c r="D272" s="10">
        <f>Ledger!E272</f>
        <v/>
      </c>
      <c r="E272" s="8">
        <f>Ledger!F272</f>
        <v/>
      </c>
      <c r="F272" s="9">
        <f>Ledger!G272</f>
        <v/>
      </c>
    </row>
    <row r="273">
      <c r="A273" s="9">
        <f>IF(Ledger!I273&lt;&gt;"Open","",IF(Ledger!F273&lt;=TODAY()+7,"Yes","-"))</f>
        <v/>
      </c>
      <c r="B273" s="9">
        <f>Ledger!C273</f>
        <v/>
      </c>
      <c r="C273" s="9">
        <f>Ledger!D273</f>
        <v/>
      </c>
      <c r="D273" s="10">
        <f>Ledger!E273</f>
        <v/>
      </c>
      <c r="E273" s="8">
        <f>Ledger!F273</f>
        <v/>
      </c>
      <c r="F273" s="9">
        <f>Ledger!G273</f>
        <v/>
      </c>
    </row>
    <row r="274">
      <c r="A274" s="9">
        <f>IF(Ledger!I274&lt;&gt;"Open","",IF(Ledger!F274&lt;=TODAY()+7,"Yes","-"))</f>
        <v/>
      </c>
      <c r="B274" s="9">
        <f>Ledger!C274</f>
        <v/>
      </c>
      <c r="C274" s="9">
        <f>Ledger!D274</f>
        <v/>
      </c>
      <c r="D274" s="10">
        <f>Ledger!E274</f>
        <v/>
      </c>
      <c r="E274" s="8">
        <f>Ledger!F274</f>
        <v/>
      </c>
      <c r="F274" s="9">
        <f>Ledger!G274</f>
        <v/>
      </c>
    </row>
    <row r="275">
      <c r="A275" s="9">
        <f>IF(Ledger!I275&lt;&gt;"Open","",IF(Ledger!F275&lt;=TODAY()+7,"Yes","-"))</f>
        <v/>
      </c>
      <c r="B275" s="9">
        <f>Ledger!C275</f>
        <v/>
      </c>
      <c r="C275" s="9">
        <f>Ledger!D275</f>
        <v/>
      </c>
      <c r="D275" s="10">
        <f>Ledger!E275</f>
        <v/>
      </c>
      <c r="E275" s="8">
        <f>Ledger!F275</f>
        <v/>
      </c>
      <c r="F275" s="9">
        <f>Ledger!G275</f>
        <v/>
      </c>
    </row>
    <row r="276">
      <c r="A276" s="9">
        <f>IF(Ledger!I276&lt;&gt;"Open","",IF(Ledger!F276&lt;=TODAY()+7,"Yes","-"))</f>
        <v/>
      </c>
      <c r="B276" s="9">
        <f>Ledger!C276</f>
        <v/>
      </c>
      <c r="C276" s="9">
        <f>Ledger!D276</f>
        <v/>
      </c>
      <c r="D276" s="10">
        <f>Ledger!E276</f>
        <v/>
      </c>
      <c r="E276" s="8">
        <f>Ledger!F276</f>
        <v/>
      </c>
      <c r="F276" s="9">
        <f>Ledger!G276</f>
        <v/>
      </c>
    </row>
    <row r="277">
      <c r="A277" s="9">
        <f>IF(Ledger!I277&lt;&gt;"Open","",IF(Ledger!F277&lt;=TODAY()+7,"Yes","-"))</f>
        <v/>
      </c>
      <c r="B277" s="9">
        <f>Ledger!C277</f>
        <v/>
      </c>
      <c r="C277" s="9">
        <f>Ledger!D277</f>
        <v/>
      </c>
      <c r="D277" s="10">
        <f>Ledger!E277</f>
        <v/>
      </c>
      <c r="E277" s="8">
        <f>Ledger!F277</f>
        <v/>
      </c>
      <c r="F277" s="9">
        <f>Ledger!G277</f>
        <v/>
      </c>
    </row>
    <row r="278">
      <c r="A278" s="9">
        <f>IF(Ledger!I278&lt;&gt;"Open","",IF(Ledger!F278&lt;=TODAY()+7,"Yes","-"))</f>
        <v/>
      </c>
      <c r="B278" s="9">
        <f>Ledger!C278</f>
        <v/>
      </c>
      <c r="C278" s="9">
        <f>Ledger!D278</f>
        <v/>
      </c>
      <c r="D278" s="10">
        <f>Ledger!E278</f>
        <v/>
      </c>
      <c r="E278" s="8">
        <f>Ledger!F278</f>
        <v/>
      </c>
      <c r="F278" s="9">
        <f>Ledger!G278</f>
        <v/>
      </c>
    </row>
    <row r="279">
      <c r="A279" s="9">
        <f>IF(Ledger!I279&lt;&gt;"Open","",IF(Ledger!F279&lt;=TODAY()+7,"Yes","-"))</f>
        <v/>
      </c>
      <c r="B279" s="9">
        <f>Ledger!C279</f>
        <v/>
      </c>
      <c r="C279" s="9">
        <f>Ledger!D279</f>
        <v/>
      </c>
      <c r="D279" s="10">
        <f>Ledger!E279</f>
        <v/>
      </c>
      <c r="E279" s="8">
        <f>Ledger!F279</f>
        <v/>
      </c>
      <c r="F279" s="9">
        <f>Ledger!G279</f>
        <v/>
      </c>
    </row>
    <row r="280">
      <c r="A280" s="9">
        <f>IF(Ledger!I280&lt;&gt;"Open","",IF(Ledger!F280&lt;=TODAY()+7,"Yes","-"))</f>
        <v/>
      </c>
      <c r="B280" s="9">
        <f>Ledger!C280</f>
        <v/>
      </c>
      <c r="C280" s="9">
        <f>Ledger!D280</f>
        <v/>
      </c>
      <c r="D280" s="10">
        <f>Ledger!E280</f>
        <v/>
      </c>
      <c r="E280" s="8">
        <f>Ledger!F280</f>
        <v/>
      </c>
      <c r="F280" s="9">
        <f>Ledger!G280</f>
        <v/>
      </c>
    </row>
    <row r="281">
      <c r="A281" s="9">
        <f>IF(Ledger!I281&lt;&gt;"Open","",IF(Ledger!F281&lt;=TODAY()+7,"Yes","-"))</f>
        <v/>
      </c>
      <c r="B281" s="9">
        <f>Ledger!C281</f>
        <v/>
      </c>
      <c r="C281" s="9">
        <f>Ledger!D281</f>
        <v/>
      </c>
      <c r="D281" s="10">
        <f>Ledger!E281</f>
        <v/>
      </c>
      <c r="E281" s="8">
        <f>Ledger!F281</f>
        <v/>
      </c>
      <c r="F281" s="9">
        <f>Ledger!G281</f>
        <v/>
      </c>
    </row>
    <row r="282">
      <c r="A282" s="9">
        <f>IF(Ledger!I282&lt;&gt;"Open","",IF(Ledger!F282&lt;=TODAY()+7,"Yes","-"))</f>
        <v/>
      </c>
      <c r="B282" s="9">
        <f>Ledger!C282</f>
        <v/>
      </c>
      <c r="C282" s="9">
        <f>Ledger!D282</f>
        <v/>
      </c>
      <c r="D282" s="10">
        <f>Ledger!E282</f>
        <v/>
      </c>
      <c r="E282" s="8">
        <f>Ledger!F282</f>
        <v/>
      </c>
      <c r="F282" s="9">
        <f>Ledger!G282</f>
        <v/>
      </c>
    </row>
    <row r="283">
      <c r="A283" s="9">
        <f>IF(Ledger!I283&lt;&gt;"Open","",IF(Ledger!F283&lt;=TODAY()+7,"Yes","-"))</f>
        <v/>
      </c>
      <c r="B283" s="9">
        <f>Ledger!C283</f>
        <v/>
      </c>
      <c r="C283" s="9">
        <f>Ledger!D283</f>
        <v/>
      </c>
      <c r="D283" s="10">
        <f>Ledger!E283</f>
        <v/>
      </c>
      <c r="E283" s="8">
        <f>Ledger!F283</f>
        <v/>
      </c>
      <c r="F283" s="9">
        <f>Ledger!G283</f>
        <v/>
      </c>
    </row>
    <row r="284">
      <c r="A284" s="9">
        <f>IF(Ledger!I284&lt;&gt;"Open","",IF(Ledger!F284&lt;=TODAY()+7,"Yes","-"))</f>
        <v/>
      </c>
      <c r="B284" s="9">
        <f>Ledger!C284</f>
        <v/>
      </c>
      <c r="C284" s="9">
        <f>Ledger!D284</f>
        <v/>
      </c>
      <c r="D284" s="10">
        <f>Ledger!E284</f>
        <v/>
      </c>
      <c r="E284" s="8">
        <f>Ledger!F284</f>
        <v/>
      </c>
      <c r="F284" s="9">
        <f>Ledger!G284</f>
        <v/>
      </c>
    </row>
    <row r="285">
      <c r="A285" s="9">
        <f>IF(Ledger!I285&lt;&gt;"Open","",IF(Ledger!F285&lt;=TODAY()+7,"Yes","-"))</f>
        <v/>
      </c>
      <c r="B285" s="9">
        <f>Ledger!C285</f>
        <v/>
      </c>
      <c r="C285" s="9">
        <f>Ledger!D285</f>
        <v/>
      </c>
      <c r="D285" s="10">
        <f>Ledger!E285</f>
        <v/>
      </c>
      <c r="E285" s="8">
        <f>Ledger!F285</f>
        <v/>
      </c>
      <c r="F285" s="9">
        <f>Ledger!G285</f>
        <v/>
      </c>
    </row>
    <row r="286">
      <c r="A286" s="9">
        <f>IF(Ledger!I286&lt;&gt;"Open","",IF(Ledger!F286&lt;=TODAY()+7,"Yes","-"))</f>
        <v/>
      </c>
      <c r="B286" s="9">
        <f>Ledger!C286</f>
        <v/>
      </c>
      <c r="C286" s="9">
        <f>Ledger!D286</f>
        <v/>
      </c>
      <c r="D286" s="10">
        <f>Ledger!E286</f>
        <v/>
      </c>
      <c r="E286" s="8">
        <f>Ledger!F286</f>
        <v/>
      </c>
      <c r="F286" s="9">
        <f>Ledger!G286</f>
        <v/>
      </c>
    </row>
    <row r="287">
      <c r="A287" s="9">
        <f>IF(Ledger!I287&lt;&gt;"Open","",IF(Ledger!F287&lt;=TODAY()+7,"Yes","-"))</f>
        <v/>
      </c>
      <c r="B287" s="9">
        <f>Ledger!C287</f>
        <v/>
      </c>
      <c r="C287" s="9">
        <f>Ledger!D287</f>
        <v/>
      </c>
      <c r="D287" s="10">
        <f>Ledger!E287</f>
        <v/>
      </c>
      <c r="E287" s="8">
        <f>Ledger!F287</f>
        <v/>
      </c>
      <c r="F287" s="9">
        <f>Ledger!G287</f>
        <v/>
      </c>
    </row>
    <row r="288">
      <c r="A288" s="9">
        <f>IF(Ledger!I288&lt;&gt;"Open","",IF(Ledger!F288&lt;=TODAY()+7,"Yes","-"))</f>
        <v/>
      </c>
      <c r="B288" s="9">
        <f>Ledger!C288</f>
        <v/>
      </c>
      <c r="C288" s="9">
        <f>Ledger!D288</f>
        <v/>
      </c>
      <c r="D288" s="10">
        <f>Ledger!E288</f>
        <v/>
      </c>
      <c r="E288" s="8">
        <f>Ledger!F288</f>
        <v/>
      </c>
      <c r="F288" s="9">
        <f>Ledger!G288</f>
        <v/>
      </c>
    </row>
    <row r="289">
      <c r="A289" s="9">
        <f>IF(Ledger!I289&lt;&gt;"Open","",IF(Ledger!F289&lt;=TODAY()+7,"Yes","-"))</f>
        <v/>
      </c>
      <c r="B289" s="9">
        <f>Ledger!C289</f>
        <v/>
      </c>
      <c r="C289" s="9">
        <f>Ledger!D289</f>
        <v/>
      </c>
      <c r="D289" s="10">
        <f>Ledger!E289</f>
        <v/>
      </c>
      <c r="E289" s="8">
        <f>Ledger!F289</f>
        <v/>
      </c>
      <c r="F289" s="9">
        <f>Ledger!G289</f>
        <v/>
      </c>
    </row>
    <row r="290">
      <c r="A290" s="9">
        <f>IF(Ledger!I290&lt;&gt;"Open","",IF(Ledger!F290&lt;=TODAY()+7,"Yes","-"))</f>
        <v/>
      </c>
      <c r="B290" s="9">
        <f>Ledger!C290</f>
        <v/>
      </c>
      <c r="C290" s="9">
        <f>Ledger!D290</f>
        <v/>
      </c>
      <c r="D290" s="10">
        <f>Ledger!E290</f>
        <v/>
      </c>
      <c r="E290" s="8">
        <f>Ledger!F290</f>
        <v/>
      </c>
      <c r="F290" s="9">
        <f>Ledger!G290</f>
        <v/>
      </c>
    </row>
    <row r="291">
      <c r="A291" s="9">
        <f>IF(Ledger!I291&lt;&gt;"Open","",IF(Ledger!F291&lt;=TODAY()+7,"Yes","-"))</f>
        <v/>
      </c>
      <c r="B291" s="9">
        <f>Ledger!C291</f>
        <v/>
      </c>
      <c r="C291" s="9">
        <f>Ledger!D291</f>
        <v/>
      </c>
      <c r="D291" s="10">
        <f>Ledger!E291</f>
        <v/>
      </c>
      <c r="E291" s="8">
        <f>Ledger!F291</f>
        <v/>
      </c>
      <c r="F291" s="9">
        <f>Ledger!G291</f>
        <v/>
      </c>
    </row>
    <row r="292">
      <c r="A292" s="9">
        <f>IF(Ledger!I292&lt;&gt;"Open","",IF(Ledger!F292&lt;=TODAY()+7,"Yes","-"))</f>
        <v/>
      </c>
      <c r="B292" s="9">
        <f>Ledger!C292</f>
        <v/>
      </c>
      <c r="C292" s="9">
        <f>Ledger!D292</f>
        <v/>
      </c>
      <c r="D292" s="10">
        <f>Ledger!E292</f>
        <v/>
      </c>
      <c r="E292" s="8">
        <f>Ledger!F292</f>
        <v/>
      </c>
      <c r="F292" s="9">
        <f>Ledger!G292</f>
        <v/>
      </c>
    </row>
    <row r="293">
      <c r="A293" s="9">
        <f>IF(Ledger!I293&lt;&gt;"Open","",IF(Ledger!F293&lt;=TODAY()+7,"Yes","-"))</f>
        <v/>
      </c>
      <c r="B293" s="9">
        <f>Ledger!C293</f>
        <v/>
      </c>
      <c r="C293" s="9">
        <f>Ledger!D293</f>
        <v/>
      </c>
      <c r="D293" s="10">
        <f>Ledger!E293</f>
        <v/>
      </c>
      <c r="E293" s="8">
        <f>Ledger!F293</f>
        <v/>
      </c>
      <c r="F293" s="9">
        <f>Ledger!G293</f>
        <v/>
      </c>
    </row>
    <row r="294">
      <c r="A294" s="9">
        <f>IF(Ledger!I294&lt;&gt;"Open","",IF(Ledger!F294&lt;=TODAY()+7,"Yes","-"))</f>
        <v/>
      </c>
      <c r="B294" s="9">
        <f>Ledger!C294</f>
        <v/>
      </c>
      <c r="C294" s="9">
        <f>Ledger!D294</f>
        <v/>
      </c>
      <c r="D294" s="10">
        <f>Ledger!E294</f>
        <v/>
      </c>
      <c r="E294" s="8">
        <f>Ledger!F294</f>
        <v/>
      </c>
      <c r="F294" s="9">
        <f>Ledger!G294</f>
        <v/>
      </c>
    </row>
    <row r="295">
      <c r="A295" s="9">
        <f>IF(Ledger!I295&lt;&gt;"Open","",IF(Ledger!F295&lt;=TODAY()+7,"Yes","-"))</f>
        <v/>
      </c>
      <c r="B295" s="9">
        <f>Ledger!C295</f>
        <v/>
      </c>
      <c r="C295" s="9">
        <f>Ledger!D295</f>
        <v/>
      </c>
      <c r="D295" s="10">
        <f>Ledger!E295</f>
        <v/>
      </c>
      <c r="E295" s="8">
        <f>Ledger!F295</f>
        <v/>
      </c>
      <c r="F295" s="9">
        <f>Ledger!G295</f>
        <v/>
      </c>
    </row>
    <row r="296">
      <c r="A296" s="9">
        <f>IF(Ledger!I296&lt;&gt;"Open","",IF(Ledger!F296&lt;=TODAY()+7,"Yes","-"))</f>
        <v/>
      </c>
      <c r="B296" s="9">
        <f>Ledger!C296</f>
        <v/>
      </c>
      <c r="C296" s="9">
        <f>Ledger!D296</f>
        <v/>
      </c>
      <c r="D296" s="10">
        <f>Ledger!E296</f>
        <v/>
      </c>
      <c r="E296" s="8">
        <f>Ledger!F296</f>
        <v/>
      </c>
      <c r="F296" s="9">
        <f>Ledger!G296</f>
        <v/>
      </c>
    </row>
    <row r="297">
      <c r="A297" s="9">
        <f>IF(Ledger!I297&lt;&gt;"Open","",IF(Ledger!F297&lt;=TODAY()+7,"Yes","-"))</f>
        <v/>
      </c>
      <c r="B297" s="9">
        <f>Ledger!C297</f>
        <v/>
      </c>
      <c r="C297" s="9">
        <f>Ledger!D297</f>
        <v/>
      </c>
      <c r="D297" s="10">
        <f>Ledger!E297</f>
        <v/>
      </c>
      <c r="E297" s="8">
        <f>Ledger!F297</f>
        <v/>
      </c>
      <c r="F297" s="9">
        <f>Ledger!G297</f>
        <v/>
      </c>
    </row>
    <row r="298">
      <c r="A298" s="9">
        <f>IF(Ledger!I298&lt;&gt;"Open","",IF(Ledger!F298&lt;=TODAY()+7,"Yes","-"))</f>
        <v/>
      </c>
      <c r="B298" s="9">
        <f>Ledger!C298</f>
        <v/>
      </c>
      <c r="C298" s="9">
        <f>Ledger!D298</f>
        <v/>
      </c>
      <c r="D298" s="10">
        <f>Ledger!E298</f>
        <v/>
      </c>
      <c r="E298" s="8">
        <f>Ledger!F298</f>
        <v/>
      </c>
      <c r="F298" s="9">
        <f>Ledger!G298</f>
        <v/>
      </c>
    </row>
    <row r="299">
      <c r="A299" s="9">
        <f>IF(Ledger!I299&lt;&gt;"Open","",IF(Ledger!F299&lt;=TODAY()+7,"Yes","-"))</f>
        <v/>
      </c>
      <c r="B299" s="9">
        <f>Ledger!C299</f>
        <v/>
      </c>
      <c r="C299" s="9">
        <f>Ledger!D299</f>
        <v/>
      </c>
      <c r="D299" s="10">
        <f>Ledger!E299</f>
        <v/>
      </c>
      <c r="E299" s="8">
        <f>Ledger!F299</f>
        <v/>
      </c>
      <c r="F299" s="9">
        <f>Ledger!G299</f>
        <v/>
      </c>
    </row>
    <row r="300">
      <c r="A300" s="9">
        <f>IF(Ledger!I300&lt;&gt;"Open","",IF(Ledger!F300&lt;=TODAY()+7,"Yes","-"))</f>
        <v/>
      </c>
      <c r="B300" s="9">
        <f>Ledger!C300</f>
        <v/>
      </c>
      <c r="C300" s="9">
        <f>Ledger!D300</f>
        <v/>
      </c>
      <c r="D300" s="10">
        <f>Ledger!E300</f>
        <v/>
      </c>
      <c r="E300" s="8">
        <f>Ledger!F300</f>
        <v/>
      </c>
      <c r="F300" s="9">
        <f>Ledger!G300</f>
        <v/>
      </c>
    </row>
    <row r="301">
      <c r="A301" s="9">
        <f>IF(Ledger!I301&lt;&gt;"Open","",IF(Ledger!F301&lt;=TODAY()+7,"Yes","-"))</f>
        <v/>
      </c>
      <c r="B301" s="9">
        <f>Ledger!C301</f>
        <v/>
      </c>
      <c r="C301" s="9">
        <f>Ledger!D301</f>
        <v/>
      </c>
      <c r="D301" s="10">
        <f>Ledger!E301</f>
        <v/>
      </c>
      <c r="E301" s="8">
        <f>Ledger!F301</f>
        <v/>
      </c>
      <c r="F301" s="9">
        <f>Ledger!G301</f>
        <v/>
      </c>
    </row>
    <row r="302">
      <c r="A302" s="9">
        <f>IF(Ledger!I302&lt;&gt;"Open","",IF(Ledger!F302&lt;=TODAY()+7,"Yes","-"))</f>
        <v/>
      </c>
      <c r="B302" s="9">
        <f>Ledger!C302</f>
        <v/>
      </c>
      <c r="C302" s="9">
        <f>Ledger!D302</f>
        <v/>
      </c>
      <c r="D302" s="10">
        <f>Ledger!E302</f>
        <v/>
      </c>
      <c r="E302" s="8">
        <f>Ledger!F302</f>
        <v/>
      </c>
      <c r="F302" s="9">
        <f>Ledger!G302</f>
        <v/>
      </c>
    </row>
    <row r="303">
      <c r="A303" s="9">
        <f>IF(Ledger!I303&lt;&gt;"Open","",IF(Ledger!F303&lt;=TODAY()+7,"Yes","-"))</f>
        <v/>
      </c>
      <c r="B303" s="9">
        <f>Ledger!C303</f>
        <v/>
      </c>
      <c r="C303" s="9">
        <f>Ledger!D303</f>
        <v/>
      </c>
      <c r="D303" s="10">
        <f>Ledger!E303</f>
        <v/>
      </c>
      <c r="E303" s="8">
        <f>Ledger!F303</f>
        <v/>
      </c>
      <c r="F303" s="9">
        <f>Ledger!G303</f>
        <v/>
      </c>
    </row>
    <row r="304">
      <c r="A304" s="9">
        <f>IF(Ledger!I304&lt;&gt;"Open","",IF(Ledger!F304&lt;=TODAY()+7,"Yes","-"))</f>
        <v/>
      </c>
      <c r="B304" s="9">
        <f>Ledger!C304</f>
        <v/>
      </c>
      <c r="C304" s="9">
        <f>Ledger!D304</f>
        <v/>
      </c>
      <c r="D304" s="10">
        <f>Ledger!E304</f>
        <v/>
      </c>
      <c r="E304" s="8">
        <f>Ledger!F304</f>
        <v/>
      </c>
      <c r="F304" s="9">
        <f>Ledger!G304</f>
        <v/>
      </c>
    </row>
    <row r="305">
      <c r="A305" s="9">
        <f>IF(Ledger!I305&lt;&gt;"Open","",IF(Ledger!F305&lt;=TODAY()+7,"Yes","-"))</f>
        <v/>
      </c>
      <c r="B305" s="9">
        <f>Ledger!C305</f>
        <v/>
      </c>
      <c r="C305" s="9">
        <f>Ledger!D305</f>
        <v/>
      </c>
      <c r="D305" s="10">
        <f>Ledger!E305</f>
        <v/>
      </c>
      <c r="E305" s="8">
        <f>Ledger!F305</f>
        <v/>
      </c>
      <c r="F305" s="9">
        <f>Ledger!G305</f>
        <v/>
      </c>
    </row>
    <row r="306">
      <c r="A306" s="9">
        <f>IF(Ledger!I306&lt;&gt;"Open","",IF(Ledger!F306&lt;=TODAY()+7,"Yes","-"))</f>
        <v/>
      </c>
      <c r="B306" s="9">
        <f>Ledger!C306</f>
        <v/>
      </c>
      <c r="C306" s="9">
        <f>Ledger!D306</f>
        <v/>
      </c>
      <c r="D306" s="10">
        <f>Ledger!E306</f>
        <v/>
      </c>
      <c r="E306" s="8">
        <f>Ledger!F306</f>
        <v/>
      </c>
      <c r="F306" s="9">
        <f>Ledger!G306</f>
        <v/>
      </c>
    </row>
    <row r="307">
      <c r="A307" s="9">
        <f>IF(Ledger!I307&lt;&gt;"Open","",IF(Ledger!F307&lt;=TODAY()+7,"Yes","-"))</f>
        <v/>
      </c>
      <c r="B307" s="9">
        <f>Ledger!C307</f>
        <v/>
      </c>
      <c r="C307" s="9">
        <f>Ledger!D307</f>
        <v/>
      </c>
      <c r="D307" s="10">
        <f>Ledger!E307</f>
        <v/>
      </c>
      <c r="E307" s="8">
        <f>Ledger!F307</f>
        <v/>
      </c>
      <c r="F307" s="9">
        <f>Ledger!G307</f>
        <v/>
      </c>
    </row>
    <row r="308">
      <c r="A308" s="9">
        <f>IF(Ledger!I308&lt;&gt;"Open","",IF(Ledger!F308&lt;=TODAY()+7,"Yes","-"))</f>
        <v/>
      </c>
      <c r="B308" s="9">
        <f>Ledger!C308</f>
        <v/>
      </c>
      <c r="C308" s="9">
        <f>Ledger!D308</f>
        <v/>
      </c>
      <c r="D308" s="10">
        <f>Ledger!E308</f>
        <v/>
      </c>
      <c r="E308" s="8">
        <f>Ledger!F308</f>
        <v/>
      </c>
      <c r="F308" s="9">
        <f>Ledger!G308</f>
        <v/>
      </c>
    </row>
    <row r="309">
      <c r="A309" s="9">
        <f>IF(Ledger!I309&lt;&gt;"Open","",IF(Ledger!F309&lt;=TODAY()+7,"Yes","-"))</f>
        <v/>
      </c>
      <c r="B309" s="9">
        <f>Ledger!C309</f>
        <v/>
      </c>
      <c r="C309" s="9">
        <f>Ledger!D309</f>
        <v/>
      </c>
      <c r="D309" s="10">
        <f>Ledger!E309</f>
        <v/>
      </c>
      <c r="E309" s="8">
        <f>Ledger!F309</f>
        <v/>
      </c>
      <c r="F309" s="9">
        <f>Ledger!G309</f>
        <v/>
      </c>
    </row>
    <row r="310">
      <c r="A310" s="9">
        <f>IF(Ledger!I310&lt;&gt;"Open","",IF(Ledger!F310&lt;=TODAY()+7,"Yes","-"))</f>
        <v/>
      </c>
      <c r="B310" s="9">
        <f>Ledger!C310</f>
        <v/>
      </c>
      <c r="C310" s="9">
        <f>Ledger!D310</f>
        <v/>
      </c>
      <c r="D310" s="10">
        <f>Ledger!E310</f>
        <v/>
      </c>
      <c r="E310" s="8">
        <f>Ledger!F310</f>
        <v/>
      </c>
      <c r="F310" s="9">
        <f>Ledger!G310</f>
        <v/>
      </c>
    </row>
    <row r="311">
      <c r="A311" s="9">
        <f>IF(Ledger!I311&lt;&gt;"Open","",IF(Ledger!F311&lt;=TODAY()+7,"Yes","-"))</f>
        <v/>
      </c>
      <c r="B311" s="9">
        <f>Ledger!C311</f>
        <v/>
      </c>
      <c r="C311" s="9">
        <f>Ledger!D311</f>
        <v/>
      </c>
      <c r="D311" s="10">
        <f>Ledger!E311</f>
        <v/>
      </c>
      <c r="E311" s="8">
        <f>Ledger!F311</f>
        <v/>
      </c>
      <c r="F311" s="9">
        <f>Ledger!G311</f>
        <v/>
      </c>
    </row>
    <row r="312">
      <c r="A312" s="9">
        <f>IF(Ledger!I312&lt;&gt;"Open","",IF(Ledger!F312&lt;=TODAY()+7,"Yes","-"))</f>
        <v/>
      </c>
      <c r="B312" s="9">
        <f>Ledger!C312</f>
        <v/>
      </c>
      <c r="C312" s="9">
        <f>Ledger!D312</f>
        <v/>
      </c>
      <c r="D312" s="10">
        <f>Ledger!E312</f>
        <v/>
      </c>
      <c r="E312" s="8">
        <f>Ledger!F312</f>
        <v/>
      </c>
      <c r="F312" s="9">
        <f>Ledger!G312</f>
        <v/>
      </c>
    </row>
    <row r="313">
      <c r="A313" s="9">
        <f>IF(Ledger!I313&lt;&gt;"Open","",IF(Ledger!F313&lt;=TODAY()+7,"Yes","-"))</f>
        <v/>
      </c>
      <c r="B313" s="9">
        <f>Ledger!C313</f>
        <v/>
      </c>
      <c r="C313" s="9">
        <f>Ledger!D313</f>
        <v/>
      </c>
      <c r="D313" s="10">
        <f>Ledger!E313</f>
        <v/>
      </c>
      <c r="E313" s="8">
        <f>Ledger!F313</f>
        <v/>
      </c>
      <c r="F313" s="9">
        <f>Ledger!G313</f>
        <v/>
      </c>
    </row>
    <row r="314">
      <c r="A314" s="9">
        <f>IF(Ledger!I314&lt;&gt;"Open","",IF(Ledger!F314&lt;=TODAY()+7,"Yes","-"))</f>
        <v/>
      </c>
      <c r="B314" s="9">
        <f>Ledger!C314</f>
        <v/>
      </c>
      <c r="C314" s="9">
        <f>Ledger!D314</f>
        <v/>
      </c>
      <c r="D314" s="10">
        <f>Ledger!E314</f>
        <v/>
      </c>
      <c r="E314" s="8">
        <f>Ledger!F314</f>
        <v/>
      </c>
      <c r="F314" s="9">
        <f>Ledger!G314</f>
        <v/>
      </c>
    </row>
    <row r="315">
      <c r="A315" s="9">
        <f>IF(Ledger!I315&lt;&gt;"Open","",IF(Ledger!F315&lt;=TODAY()+7,"Yes","-"))</f>
        <v/>
      </c>
      <c r="B315" s="9">
        <f>Ledger!C315</f>
        <v/>
      </c>
      <c r="C315" s="9">
        <f>Ledger!D315</f>
        <v/>
      </c>
      <c r="D315" s="10">
        <f>Ledger!E315</f>
        <v/>
      </c>
      <c r="E315" s="8">
        <f>Ledger!F315</f>
        <v/>
      </c>
      <c r="F315" s="9">
        <f>Ledger!G315</f>
        <v/>
      </c>
    </row>
    <row r="316">
      <c r="A316" s="9">
        <f>IF(Ledger!I316&lt;&gt;"Open","",IF(Ledger!F316&lt;=TODAY()+7,"Yes","-"))</f>
        <v/>
      </c>
      <c r="B316" s="9">
        <f>Ledger!C316</f>
        <v/>
      </c>
      <c r="C316" s="9">
        <f>Ledger!D316</f>
        <v/>
      </c>
      <c r="D316" s="10">
        <f>Ledger!E316</f>
        <v/>
      </c>
      <c r="E316" s="8">
        <f>Ledger!F316</f>
        <v/>
      </c>
      <c r="F316" s="9">
        <f>Ledger!G316</f>
        <v/>
      </c>
    </row>
    <row r="317">
      <c r="A317" s="9">
        <f>IF(Ledger!I317&lt;&gt;"Open","",IF(Ledger!F317&lt;=TODAY()+7,"Yes","-"))</f>
        <v/>
      </c>
      <c r="B317" s="9">
        <f>Ledger!C317</f>
        <v/>
      </c>
      <c r="C317" s="9">
        <f>Ledger!D317</f>
        <v/>
      </c>
      <c r="D317" s="10">
        <f>Ledger!E317</f>
        <v/>
      </c>
      <c r="E317" s="8">
        <f>Ledger!F317</f>
        <v/>
      </c>
      <c r="F317" s="9">
        <f>Ledger!G317</f>
        <v/>
      </c>
    </row>
    <row r="318">
      <c r="A318" s="9">
        <f>IF(Ledger!I318&lt;&gt;"Open","",IF(Ledger!F318&lt;=TODAY()+7,"Yes","-"))</f>
        <v/>
      </c>
      <c r="B318" s="9">
        <f>Ledger!C318</f>
        <v/>
      </c>
      <c r="C318" s="9">
        <f>Ledger!D318</f>
        <v/>
      </c>
      <c r="D318" s="10">
        <f>Ledger!E318</f>
        <v/>
      </c>
      <c r="E318" s="8">
        <f>Ledger!F318</f>
        <v/>
      </c>
      <c r="F318" s="9">
        <f>Ledger!G318</f>
        <v/>
      </c>
    </row>
    <row r="319">
      <c r="A319" s="9">
        <f>IF(Ledger!I319&lt;&gt;"Open","",IF(Ledger!F319&lt;=TODAY()+7,"Yes","-"))</f>
        <v/>
      </c>
      <c r="B319" s="9">
        <f>Ledger!C319</f>
        <v/>
      </c>
      <c r="C319" s="9">
        <f>Ledger!D319</f>
        <v/>
      </c>
      <c r="D319" s="10">
        <f>Ledger!E319</f>
        <v/>
      </c>
      <c r="E319" s="8">
        <f>Ledger!F319</f>
        <v/>
      </c>
      <c r="F319" s="9">
        <f>Ledger!G319</f>
        <v/>
      </c>
    </row>
    <row r="320">
      <c r="A320" s="9">
        <f>IF(Ledger!I320&lt;&gt;"Open","",IF(Ledger!F320&lt;=TODAY()+7,"Yes","-"))</f>
        <v/>
      </c>
      <c r="B320" s="9">
        <f>Ledger!C320</f>
        <v/>
      </c>
      <c r="C320" s="9">
        <f>Ledger!D320</f>
        <v/>
      </c>
      <c r="D320" s="10">
        <f>Ledger!E320</f>
        <v/>
      </c>
      <c r="E320" s="8">
        <f>Ledger!F320</f>
        <v/>
      </c>
      <c r="F320" s="9">
        <f>Ledger!G320</f>
        <v/>
      </c>
    </row>
    <row r="321">
      <c r="A321" s="9">
        <f>IF(Ledger!I321&lt;&gt;"Open","",IF(Ledger!F321&lt;=TODAY()+7,"Yes","-"))</f>
        <v/>
      </c>
      <c r="B321" s="9">
        <f>Ledger!C321</f>
        <v/>
      </c>
      <c r="C321" s="9">
        <f>Ledger!D321</f>
        <v/>
      </c>
      <c r="D321" s="10">
        <f>Ledger!E321</f>
        <v/>
      </c>
      <c r="E321" s="8">
        <f>Ledger!F321</f>
        <v/>
      </c>
      <c r="F321" s="9">
        <f>Ledger!G321</f>
        <v/>
      </c>
    </row>
    <row r="322">
      <c r="A322" s="9">
        <f>IF(Ledger!I322&lt;&gt;"Open","",IF(Ledger!F322&lt;=TODAY()+7,"Yes","-"))</f>
        <v/>
      </c>
      <c r="B322" s="9">
        <f>Ledger!C322</f>
        <v/>
      </c>
      <c r="C322" s="9">
        <f>Ledger!D322</f>
        <v/>
      </c>
      <c r="D322" s="10">
        <f>Ledger!E322</f>
        <v/>
      </c>
      <c r="E322" s="8">
        <f>Ledger!F322</f>
        <v/>
      </c>
      <c r="F322" s="9">
        <f>Ledger!G322</f>
        <v/>
      </c>
    </row>
    <row r="323">
      <c r="A323" s="9">
        <f>IF(Ledger!I323&lt;&gt;"Open","",IF(Ledger!F323&lt;=TODAY()+7,"Yes","-"))</f>
        <v/>
      </c>
      <c r="B323" s="9">
        <f>Ledger!C323</f>
        <v/>
      </c>
      <c r="C323" s="9">
        <f>Ledger!D323</f>
        <v/>
      </c>
      <c r="D323" s="10">
        <f>Ledger!E323</f>
        <v/>
      </c>
      <c r="E323" s="8">
        <f>Ledger!F323</f>
        <v/>
      </c>
      <c r="F323" s="9">
        <f>Ledger!G323</f>
        <v/>
      </c>
    </row>
    <row r="324">
      <c r="A324" s="9">
        <f>IF(Ledger!I324&lt;&gt;"Open","",IF(Ledger!F324&lt;=TODAY()+7,"Yes","-"))</f>
        <v/>
      </c>
      <c r="B324" s="9">
        <f>Ledger!C324</f>
        <v/>
      </c>
      <c r="C324" s="9">
        <f>Ledger!D324</f>
        <v/>
      </c>
      <c r="D324" s="10">
        <f>Ledger!E324</f>
        <v/>
      </c>
      <c r="E324" s="8">
        <f>Ledger!F324</f>
        <v/>
      </c>
      <c r="F324" s="9">
        <f>Ledger!G324</f>
        <v/>
      </c>
    </row>
    <row r="325">
      <c r="A325" s="9">
        <f>IF(Ledger!I325&lt;&gt;"Open","",IF(Ledger!F325&lt;=TODAY()+7,"Yes","-"))</f>
        <v/>
      </c>
      <c r="B325" s="9">
        <f>Ledger!C325</f>
        <v/>
      </c>
      <c r="C325" s="9">
        <f>Ledger!D325</f>
        <v/>
      </c>
      <c r="D325" s="10">
        <f>Ledger!E325</f>
        <v/>
      </c>
      <c r="E325" s="8">
        <f>Ledger!F325</f>
        <v/>
      </c>
      <c r="F325" s="9">
        <f>Ledger!G325</f>
        <v/>
      </c>
    </row>
    <row r="326">
      <c r="A326" s="9">
        <f>IF(Ledger!I326&lt;&gt;"Open","",IF(Ledger!F326&lt;=TODAY()+7,"Yes","-"))</f>
        <v/>
      </c>
      <c r="B326" s="9">
        <f>Ledger!C326</f>
        <v/>
      </c>
      <c r="C326" s="9">
        <f>Ledger!D326</f>
        <v/>
      </c>
      <c r="D326" s="10">
        <f>Ledger!E326</f>
        <v/>
      </c>
      <c r="E326" s="8">
        <f>Ledger!F326</f>
        <v/>
      </c>
      <c r="F326" s="9">
        <f>Ledger!G326</f>
        <v/>
      </c>
    </row>
    <row r="327">
      <c r="A327" s="9">
        <f>IF(Ledger!I327&lt;&gt;"Open","",IF(Ledger!F327&lt;=TODAY()+7,"Yes","-"))</f>
        <v/>
      </c>
      <c r="B327" s="9">
        <f>Ledger!C327</f>
        <v/>
      </c>
      <c r="C327" s="9">
        <f>Ledger!D327</f>
        <v/>
      </c>
      <c r="D327" s="10">
        <f>Ledger!E327</f>
        <v/>
      </c>
      <c r="E327" s="8">
        <f>Ledger!F327</f>
        <v/>
      </c>
      <c r="F327" s="9">
        <f>Ledger!G327</f>
        <v/>
      </c>
    </row>
    <row r="328">
      <c r="A328" s="9">
        <f>IF(Ledger!I328&lt;&gt;"Open","",IF(Ledger!F328&lt;=TODAY()+7,"Yes","-"))</f>
        <v/>
      </c>
      <c r="B328" s="9">
        <f>Ledger!C328</f>
        <v/>
      </c>
      <c r="C328" s="9">
        <f>Ledger!D328</f>
        <v/>
      </c>
      <c r="D328" s="10">
        <f>Ledger!E328</f>
        <v/>
      </c>
      <c r="E328" s="8">
        <f>Ledger!F328</f>
        <v/>
      </c>
      <c r="F328" s="9">
        <f>Ledger!G328</f>
        <v/>
      </c>
    </row>
    <row r="329">
      <c r="A329" s="9">
        <f>IF(Ledger!I329&lt;&gt;"Open","",IF(Ledger!F329&lt;=TODAY()+7,"Yes","-"))</f>
        <v/>
      </c>
      <c r="B329" s="9">
        <f>Ledger!C329</f>
        <v/>
      </c>
      <c r="C329" s="9">
        <f>Ledger!D329</f>
        <v/>
      </c>
      <c r="D329" s="10">
        <f>Ledger!E329</f>
        <v/>
      </c>
      <c r="E329" s="8">
        <f>Ledger!F329</f>
        <v/>
      </c>
      <c r="F329" s="9">
        <f>Ledger!G329</f>
        <v/>
      </c>
    </row>
    <row r="330">
      <c r="A330" s="9">
        <f>IF(Ledger!I330&lt;&gt;"Open","",IF(Ledger!F330&lt;=TODAY()+7,"Yes","-"))</f>
        <v/>
      </c>
      <c r="B330" s="9">
        <f>Ledger!C330</f>
        <v/>
      </c>
      <c r="C330" s="9">
        <f>Ledger!D330</f>
        <v/>
      </c>
      <c r="D330" s="10">
        <f>Ledger!E330</f>
        <v/>
      </c>
      <c r="E330" s="8">
        <f>Ledger!F330</f>
        <v/>
      </c>
      <c r="F330" s="9">
        <f>Ledger!G330</f>
        <v/>
      </c>
    </row>
    <row r="331">
      <c r="A331" s="9">
        <f>IF(Ledger!I331&lt;&gt;"Open","",IF(Ledger!F331&lt;=TODAY()+7,"Yes","-"))</f>
        <v/>
      </c>
      <c r="B331" s="9">
        <f>Ledger!C331</f>
        <v/>
      </c>
      <c r="C331" s="9">
        <f>Ledger!D331</f>
        <v/>
      </c>
      <c r="D331" s="10">
        <f>Ledger!E331</f>
        <v/>
      </c>
      <c r="E331" s="8">
        <f>Ledger!F331</f>
        <v/>
      </c>
      <c r="F331" s="9">
        <f>Ledger!G331</f>
        <v/>
      </c>
    </row>
    <row r="332">
      <c r="A332" s="9">
        <f>IF(Ledger!I332&lt;&gt;"Open","",IF(Ledger!F332&lt;=TODAY()+7,"Yes","-"))</f>
        <v/>
      </c>
      <c r="B332" s="9">
        <f>Ledger!C332</f>
        <v/>
      </c>
      <c r="C332" s="9">
        <f>Ledger!D332</f>
        <v/>
      </c>
      <c r="D332" s="10">
        <f>Ledger!E332</f>
        <v/>
      </c>
      <c r="E332" s="8">
        <f>Ledger!F332</f>
        <v/>
      </c>
      <c r="F332" s="9">
        <f>Ledger!G332</f>
        <v/>
      </c>
    </row>
    <row r="333">
      <c r="A333" s="9">
        <f>IF(Ledger!I333&lt;&gt;"Open","",IF(Ledger!F333&lt;=TODAY()+7,"Yes","-"))</f>
        <v/>
      </c>
      <c r="B333" s="9">
        <f>Ledger!C333</f>
        <v/>
      </c>
      <c r="C333" s="9">
        <f>Ledger!D333</f>
        <v/>
      </c>
      <c r="D333" s="10">
        <f>Ledger!E333</f>
        <v/>
      </c>
      <c r="E333" s="8">
        <f>Ledger!F333</f>
        <v/>
      </c>
      <c r="F333" s="9">
        <f>Ledger!G333</f>
        <v/>
      </c>
    </row>
    <row r="334">
      <c r="A334" s="9">
        <f>IF(Ledger!I334&lt;&gt;"Open","",IF(Ledger!F334&lt;=TODAY()+7,"Yes","-"))</f>
        <v/>
      </c>
      <c r="B334" s="9">
        <f>Ledger!C334</f>
        <v/>
      </c>
      <c r="C334" s="9">
        <f>Ledger!D334</f>
        <v/>
      </c>
      <c r="D334" s="10">
        <f>Ledger!E334</f>
        <v/>
      </c>
      <c r="E334" s="8">
        <f>Ledger!F334</f>
        <v/>
      </c>
      <c r="F334" s="9">
        <f>Ledger!G334</f>
        <v/>
      </c>
    </row>
    <row r="335">
      <c r="A335" s="9">
        <f>IF(Ledger!I335&lt;&gt;"Open","",IF(Ledger!F335&lt;=TODAY()+7,"Yes","-"))</f>
        <v/>
      </c>
      <c r="B335" s="9">
        <f>Ledger!C335</f>
        <v/>
      </c>
      <c r="C335" s="9">
        <f>Ledger!D335</f>
        <v/>
      </c>
      <c r="D335" s="10">
        <f>Ledger!E335</f>
        <v/>
      </c>
      <c r="E335" s="8">
        <f>Ledger!F335</f>
        <v/>
      </c>
      <c r="F335" s="9">
        <f>Ledger!G335</f>
        <v/>
      </c>
    </row>
    <row r="336">
      <c r="A336" s="9">
        <f>IF(Ledger!I336&lt;&gt;"Open","",IF(Ledger!F336&lt;=TODAY()+7,"Yes","-"))</f>
        <v/>
      </c>
      <c r="B336" s="9">
        <f>Ledger!C336</f>
        <v/>
      </c>
      <c r="C336" s="9">
        <f>Ledger!D336</f>
        <v/>
      </c>
      <c r="D336" s="10">
        <f>Ledger!E336</f>
        <v/>
      </c>
      <c r="E336" s="8">
        <f>Ledger!F336</f>
        <v/>
      </c>
      <c r="F336" s="9">
        <f>Ledger!G336</f>
        <v/>
      </c>
    </row>
    <row r="337">
      <c r="A337" s="9">
        <f>IF(Ledger!I337&lt;&gt;"Open","",IF(Ledger!F337&lt;=TODAY()+7,"Yes","-"))</f>
        <v/>
      </c>
      <c r="B337" s="9">
        <f>Ledger!C337</f>
        <v/>
      </c>
      <c r="C337" s="9">
        <f>Ledger!D337</f>
        <v/>
      </c>
      <c r="D337" s="10">
        <f>Ledger!E337</f>
        <v/>
      </c>
      <c r="E337" s="8">
        <f>Ledger!F337</f>
        <v/>
      </c>
      <c r="F337" s="9">
        <f>Ledger!G337</f>
        <v/>
      </c>
    </row>
    <row r="338">
      <c r="A338" s="9">
        <f>IF(Ledger!I338&lt;&gt;"Open","",IF(Ledger!F338&lt;=TODAY()+7,"Yes","-"))</f>
        <v/>
      </c>
      <c r="B338" s="9">
        <f>Ledger!C338</f>
        <v/>
      </c>
      <c r="C338" s="9">
        <f>Ledger!D338</f>
        <v/>
      </c>
      <c r="D338" s="10">
        <f>Ledger!E338</f>
        <v/>
      </c>
      <c r="E338" s="8">
        <f>Ledger!F338</f>
        <v/>
      </c>
      <c r="F338" s="9">
        <f>Ledger!G338</f>
        <v/>
      </c>
    </row>
    <row r="339">
      <c r="A339" s="9">
        <f>IF(Ledger!I339&lt;&gt;"Open","",IF(Ledger!F339&lt;=TODAY()+7,"Yes","-"))</f>
        <v/>
      </c>
      <c r="B339" s="9">
        <f>Ledger!C339</f>
        <v/>
      </c>
      <c r="C339" s="9">
        <f>Ledger!D339</f>
        <v/>
      </c>
      <c r="D339" s="10">
        <f>Ledger!E339</f>
        <v/>
      </c>
      <c r="E339" s="8">
        <f>Ledger!F339</f>
        <v/>
      </c>
      <c r="F339" s="9">
        <f>Ledger!G339</f>
        <v/>
      </c>
    </row>
    <row r="340">
      <c r="A340" s="9">
        <f>IF(Ledger!I340&lt;&gt;"Open","",IF(Ledger!F340&lt;=TODAY()+7,"Yes","-"))</f>
        <v/>
      </c>
      <c r="B340" s="9">
        <f>Ledger!C340</f>
        <v/>
      </c>
      <c r="C340" s="9">
        <f>Ledger!D340</f>
        <v/>
      </c>
      <c r="D340" s="10">
        <f>Ledger!E340</f>
        <v/>
      </c>
      <c r="E340" s="8">
        <f>Ledger!F340</f>
        <v/>
      </c>
      <c r="F340" s="9">
        <f>Ledger!G340</f>
        <v/>
      </c>
    </row>
    <row r="341">
      <c r="A341" s="9">
        <f>IF(Ledger!I341&lt;&gt;"Open","",IF(Ledger!F341&lt;=TODAY()+7,"Yes","-"))</f>
        <v/>
      </c>
      <c r="B341" s="9">
        <f>Ledger!C341</f>
        <v/>
      </c>
      <c r="C341" s="9">
        <f>Ledger!D341</f>
        <v/>
      </c>
      <c r="D341" s="10">
        <f>Ledger!E341</f>
        <v/>
      </c>
      <c r="E341" s="8">
        <f>Ledger!F341</f>
        <v/>
      </c>
      <c r="F341" s="9">
        <f>Ledger!G341</f>
        <v/>
      </c>
    </row>
    <row r="342">
      <c r="A342" s="9">
        <f>IF(Ledger!I342&lt;&gt;"Open","",IF(Ledger!F342&lt;=TODAY()+7,"Yes","-"))</f>
        <v/>
      </c>
      <c r="B342" s="9">
        <f>Ledger!C342</f>
        <v/>
      </c>
      <c r="C342" s="9">
        <f>Ledger!D342</f>
        <v/>
      </c>
      <c r="D342" s="10">
        <f>Ledger!E342</f>
        <v/>
      </c>
      <c r="E342" s="8">
        <f>Ledger!F342</f>
        <v/>
      </c>
      <c r="F342" s="9">
        <f>Ledger!G342</f>
        <v/>
      </c>
    </row>
    <row r="343">
      <c r="A343" s="9">
        <f>IF(Ledger!I343&lt;&gt;"Open","",IF(Ledger!F343&lt;=TODAY()+7,"Yes","-"))</f>
        <v/>
      </c>
      <c r="B343" s="9">
        <f>Ledger!C343</f>
        <v/>
      </c>
      <c r="C343" s="9">
        <f>Ledger!D343</f>
        <v/>
      </c>
      <c r="D343" s="10">
        <f>Ledger!E343</f>
        <v/>
      </c>
      <c r="E343" s="8">
        <f>Ledger!F343</f>
        <v/>
      </c>
      <c r="F343" s="9">
        <f>Ledger!G343</f>
        <v/>
      </c>
    </row>
    <row r="344">
      <c r="A344" s="9">
        <f>IF(Ledger!I344&lt;&gt;"Open","",IF(Ledger!F344&lt;=TODAY()+7,"Yes","-"))</f>
        <v/>
      </c>
      <c r="B344" s="9">
        <f>Ledger!C344</f>
        <v/>
      </c>
      <c r="C344" s="9">
        <f>Ledger!D344</f>
        <v/>
      </c>
      <c r="D344" s="10">
        <f>Ledger!E344</f>
        <v/>
      </c>
      <c r="E344" s="8">
        <f>Ledger!F344</f>
        <v/>
      </c>
      <c r="F344" s="9">
        <f>Ledger!G344</f>
        <v/>
      </c>
    </row>
    <row r="345">
      <c r="A345" s="9">
        <f>IF(Ledger!I345&lt;&gt;"Open","",IF(Ledger!F345&lt;=TODAY()+7,"Yes","-"))</f>
        <v/>
      </c>
      <c r="B345" s="9">
        <f>Ledger!C345</f>
        <v/>
      </c>
      <c r="C345" s="9">
        <f>Ledger!D345</f>
        <v/>
      </c>
      <c r="D345" s="10">
        <f>Ledger!E345</f>
        <v/>
      </c>
      <c r="E345" s="8">
        <f>Ledger!F345</f>
        <v/>
      </c>
      <c r="F345" s="9">
        <f>Ledger!G345</f>
        <v/>
      </c>
    </row>
    <row r="346">
      <c r="A346" s="9">
        <f>IF(Ledger!I346&lt;&gt;"Open","",IF(Ledger!F346&lt;=TODAY()+7,"Yes","-"))</f>
        <v/>
      </c>
      <c r="B346" s="9">
        <f>Ledger!C346</f>
        <v/>
      </c>
      <c r="C346" s="9">
        <f>Ledger!D346</f>
        <v/>
      </c>
      <c r="D346" s="10">
        <f>Ledger!E346</f>
        <v/>
      </c>
      <c r="E346" s="8">
        <f>Ledger!F346</f>
        <v/>
      </c>
      <c r="F346" s="9">
        <f>Ledger!G346</f>
        <v/>
      </c>
    </row>
    <row r="347">
      <c r="A347" s="9">
        <f>IF(Ledger!I347&lt;&gt;"Open","",IF(Ledger!F347&lt;=TODAY()+7,"Yes","-"))</f>
        <v/>
      </c>
      <c r="B347" s="9">
        <f>Ledger!C347</f>
        <v/>
      </c>
      <c r="C347" s="9">
        <f>Ledger!D347</f>
        <v/>
      </c>
      <c r="D347" s="10">
        <f>Ledger!E347</f>
        <v/>
      </c>
      <c r="E347" s="8">
        <f>Ledger!F347</f>
        <v/>
      </c>
      <c r="F347" s="9">
        <f>Ledger!G347</f>
        <v/>
      </c>
    </row>
    <row r="348">
      <c r="A348" s="9">
        <f>IF(Ledger!I348&lt;&gt;"Open","",IF(Ledger!F348&lt;=TODAY()+7,"Yes","-"))</f>
        <v/>
      </c>
      <c r="B348" s="9">
        <f>Ledger!C348</f>
        <v/>
      </c>
      <c r="C348" s="9">
        <f>Ledger!D348</f>
        <v/>
      </c>
      <c r="D348" s="10">
        <f>Ledger!E348</f>
        <v/>
      </c>
      <c r="E348" s="8">
        <f>Ledger!F348</f>
        <v/>
      </c>
      <c r="F348" s="9">
        <f>Ledger!G348</f>
        <v/>
      </c>
    </row>
    <row r="349">
      <c r="A349" s="9">
        <f>IF(Ledger!I349&lt;&gt;"Open","",IF(Ledger!F349&lt;=TODAY()+7,"Yes","-"))</f>
        <v/>
      </c>
      <c r="B349" s="9">
        <f>Ledger!C349</f>
        <v/>
      </c>
      <c r="C349" s="9">
        <f>Ledger!D349</f>
        <v/>
      </c>
      <c r="D349" s="10">
        <f>Ledger!E349</f>
        <v/>
      </c>
      <c r="E349" s="8">
        <f>Ledger!F349</f>
        <v/>
      </c>
      <c r="F349" s="9">
        <f>Ledger!G349</f>
        <v/>
      </c>
    </row>
    <row r="350">
      <c r="A350" s="9">
        <f>IF(Ledger!I350&lt;&gt;"Open","",IF(Ledger!F350&lt;=TODAY()+7,"Yes","-"))</f>
        <v/>
      </c>
      <c r="B350" s="9">
        <f>Ledger!C350</f>
        <v/>
      </c>
      <c r="C350" s="9">
        <f>Ledger!D350</f>
        <v/>
      </c>
      <c r="D350" s="10">
        <f>Ledger!E350</f>
        <v/>
      </c>
      <c r="E350" s="8">
        <f>Ledger!F350</f>
        <v/>
      </c>
      <c r="F350" s="9">
        <f>Ledger!G350</f>
        <v/>
      </c>
    </row>
    <row r="351">
      <c r="A351" s="9">
        <f>IF(Ledger!I351&lt;&gt;"Open","",IF(Ledger!F351&lt;=TODAY()+7,"Yes","-"))</f>
        <v/>
      </c>
      <c r="B351" s="9">
        <f>Ledger!C351</f>
        <v/>
      </c>
      <c r="C351" s="9">
        <f>Ledger!D351</f>
        <v/>
      </c>
      <c r="D351" s="10">
        <f>Ledger!E351</f>
        <v/>
      </c>
      <c r="E351" s="8">
        <f>Ledger!F351</f>
        <v/>
      </c>
      <c r="F351" s="9">
        <f>Ledger!G351</f>
        <v/>
      </c>
    </row>
    <row r="352">
      <c r="A352" s="9">
        <f>IF(Ledger!I352&lt;&gt;"Open","",IF(Ledger!F352&lt;=TODAY()+7,"Yes","-"))</f>
        <v/>
      </c>
      <c r="B352" s="9">
        <f>Ledger!C352</f>
        <v/>
      </c>
      <c r="C352" s="9">
        <f>Ledger!D352</f>
        <v/>
      </c>
      <c r="D352" s="10">
        <f>Ledger!E352</f>
        <v/>
      </c>
      <c r="E352" s="8">
        <f>Ledger!F352</f>
        <v/>
      </c>
      <c r="F352" s="9">
        <f>Ledger!G352</f>
        <v/>
      </c>
    </row>
    <row r="353">
      <c r="A353" s="9">
        <f>IF(Ledger!I353&lt;&gt;"Open","",IF(Ledger!F353&lt;=TODAY()+7,"Yes","-"))</f>
        <v/>
      </c>
      <c r="B353" s="9">
        <f>Ledger!C353</f>
        <v/>
      </c>
      <c r="C353" s="9">
        <f>Ledger!D353</f>
        <v/>
      </c>
      <c r="D353" s="10">
        <f>Ledger!E353</f>
        <v/>
      </c>
      <c r="E353" s="8">
        <f>Ledger!F353</f>
        <v/>
      </c>
      <c r="F353" s="9">
        <f>Ledger!G353</f>
        <v/>
      </c>
    </row>
    <row r="354">
      <c r="A354" s="9">
        <f>IF(Ledger!I354&lt;&gt;"Open","",IF(Ledger!F354&lt;=TODAY()+7,"Yes","-"))</f>
        <v/>
      </c>
      <c r="B354" s="9">
        <f>Ledger!C354</f>
        <v/>
      </c>
      <c r="C354" s="9">
        <f>Ledger!D354</f>
        <v/>
      </c>
      <c r="D354" s="10">
        <f>Ledger!E354</f>
        <v/>
      </c>
      <c r="E354" s="8">
        <f>Ledger!F354</f>
        <v/>
      </c>
      <c r="F354" s="9">
        <f>Ledger!G354</f>
        <v/>
      </c>
    </row>
    <row r="355">
      <c r="A355" s="9">
        <f>IF(Ledger!I355&lt;&gt;"Open","",IF(Ledger!F355&lt;=TODAY()+7,"Yes","-"))</f>
        <v/>
      </c>
      <c r="B355" s="9">
        <f>Ledger!C355</f>
        <v/>
      </c>
      <c r="C355" s="9">
        <f>Ledger!D355</f>
        <v/>
      </c>
      <c r="D355" s="10">
        <f>Ledger!E355</f>
        <v/>
      </c>
      <c r="E355" s="8">
        <f>Ledger!F355</f>
        <v/>
      </c>
      <c r="F355" s="9">
        <f>Ledger!G355</f>
        <v/>
      </c>
    </row>
    <row r="356">
      <c r="A356" s="9">
        <f>IF(Ledger!I356&lt;&gt;"Open","",IF(Ledger!F356&lt;=TODAY()+7,"Yes","-"))</f>
        <v/>
      </c>
      <c r="B356" s="9">
        <f>Ledger!C356</f>
        <v/>
      </c>
      <c r="C356" s="9">
        <f>Ledger!D356</f>
        <v/>
      </c>
      <c r="D356" s="10">
        <f>Ledger!E356</f>
        <v/>
      </c>
      <c r="E356" s="8">
        <f>Ledger!F356</f>
        <v/>
      </c>
      <c r="F356" s="9">
        <f>Ledger!G356</f>
        <v/>
      </c>
    </row>
    <row r="357">
      <c r="A357" s="9">
        <f>IF(Ledger!I357&lt;&gt;"Open","",IF(Ledger!F357&lt;=TODAY()+7,"Yes","-"))</f>
        <v/>
      </c>
      <c r="B357" s="9">
        <f>Ledger!C357</f>
        <v/>
      </c>
      <c r="C357" s="9">
        <f>Ledger!D357</f>
        <v/>
      </c>
      <c r="D357" s="10">
        <f>Ledger!E357</f>
        <v/>
      </c>
      <c r="E357" s="8">
        <f>Ledger!F357</f>
        <v/>
      </c>
      <c r="F357" s="9">
        <f>Ledger!G357</f>
        <v/>
      </c>
    </row>
    <row r="358">
      <c r="A358" s="9">
        <f>IF(Ledger!I358&lt;&gt;"Open","",IF(Ledger!F358&lt;=TODAY()+7,"Yes","-"))</f>
        <v/>
      </c>
      <c r="B358" s="9">
        <f>Ledger!C358</f>
        <v/>
      </c>
      <c r="C358" s="9">
        <f>Ledger!D358</f>
        <v/>
      </c>
      <c r="D358" s="10">
        <f>Ledger!E358</f>
        <v/>
      </c>
      <c r="E358" s="8">
        <f>Ledger!F358</f>
        <v/>
      </c>
      <c r="F358" s="9">
        <f>Ledger!G358</f>
        <v/>
      </c>
    </row>
    <row r="359">
      <c r="A359" s="9">
        <f>IF(Ledger!I359&lt;&gt;"Open","",IF(Ledger!F359&lt;=TODAY()+7,"Yes","-"))</f>
        <v/>
      </c>
      <c r="B359" s="9">
        <f>Ledger!C359</f>
        <v/>
      </c>
      <c r="C359" s="9">
        <f>Ledger!D359</f>
        <v/>
      </c>
      <c r="D359" s="10">
        <f>Ledger!E359</f>
        <v/>
      </c>
      <c r="E359" s="8">
        <f>Ledger!F359</f>
        <v/>
      </c>
      <c r="F359" s="9">
        <f>Ledger!G359</f>
        <v/>
      </c>
    </row>
    <row r="360">
      <c r="A360" s="9">
        <f>IF(Ledger!I360&lt;&gt;"Open","",IF(Ledger!F360&lt;=TODAY()+7,"Yes","-"))</f>
        <v/>
      </c>
      <c r="B360" s="9">
        <f>Ledger!C360</f>
        <v/>
      </c>
      <c r="C360" s="9">
        <f>Ledger!D360</f>
        <v/>
      </c>
      <c r="D360" s="10">
        <f>Ledger!E360</f>
        <v/>
      </c>
      <c r="E360" s="8">
        <f>Ledger!F360</f>
        <v/>
      </c>
      <c r="F360" s="9">
        <f>Ledger!G360</f>
        <v/>
      </c>
    </row>
    <row r="361">
      <c r="A361" s="9">
        <f>IF(Ledger!I361&lt;&gt;"Open","",IF(Ledger!F361&lt;=TODAY()+7,"Yes","-"))</f>
        <v/>
      </c>
      <c r="B361" s="9">
        <f>Ledger!C361</f>
        <v/>
      </c>
      <c r="C361" s="9">
        <f>Ledger!D361</f>
        <v/>
      </c>
      <c r="D361" s="10">
        <f>Ledger!E361</f>
        <v/>
      </c>
      <c r="E361" s="8">
        <f>Ledger!F361</f>
        <v/>
      </c>
      <c r="F361" s="9">
        <f>Ledger!G361</f>
        <v/>
      </c>
    </row>
    <row r="362">
      <c r="A362" s="9">
        <f>IF(Ledger!I362&lt;&gt;"Open","",IF(Ledger!F362&lt;=TODAY()+7,"Yes","-"))</f>
        <v/>
      </c>
      <c r="B362" s="9">
        <f>Ledger!C362</f>
        <v/>
      </c>
      <c r="C362" s="9">
        <f>Ledger!D362</f>
        <v/>
      </c>
      <c r="D362" s="10">
        <f>Ledger!E362</f>
        <v/>
      </c>
      <c r="E362" s="8">
        <f>Ledger!F362</f>
        <v/>
      </c>
      <c r="F362" s="9">
        <f>Ledger!G362</f>
        <v/>
      </c>
    </row>
    <row r="363">
      <c r="A363" s="9">
        <f>IF(Ledger!I363&lt;&gt;"Open","",IF(Ledger!F363&lt;=TODAY()+7,"Yes","-"))</f>
        <v/>
      </c>
      <c r="B363" s="9">
        <f>Ledger!C363</f>
        <v/>
      </c>
      <c r="C363" s="9">
        <f>Ledger!D363</f>
        <v/>
      </c>
      <c r="D363" s="10">
        <f>Ledger!E363</f>
        <v/>
      </c>
      <c r="E363" s="8">
        <f>Ledger!F363</f>
        <v/>
      </c>
      <c r="F363" s="9">
        <f>Ledger!G363</f>
        <v/>
      </c>
    </row>
    <row r="364">
      <c r="A364" s="9">
        <f>IF(Ledger!I364&lt;&gt;"Open","",IF(Ledger!F364&lt;=TODAY()+7,"Yes","-"))</f>
        <v/>
      </c>
      <c r="B364" s="9">
        <f>Ledger!C364</f>
        <v/>
      </c>
      <c r="C364" s="9">
        <f>Ledger!D364</f>
        <v/>
      </c>
      <c r="D364" s="10">
        <f>Ledger!E364</f>
        <v/>
      </c>
      <c r="E364" s="8">
        <f>Ledger!F364</f>
        <v/>
      </c>
      <c r="F364" s="9">
        <f>Ledger!G364</f>
        <v/>
      </c>
    </row>
    <row r="365">
      <c r="A365" s="9">
        <f>IF(Ledger!I365&lt;&gt;"Open","",IF(Ledger!F365&lt;=TODAY()+7,"Yes","-"))</f>
        <v/>
      </c>
      <c r="B365" s="9">
        <f>Ledger!C365</f>
        <v/>
      </c>
      <c r="C365" s="9">
        <f>Ledger!D365</f>
        <v/>
      </c>
      <c r="D365" s="10">
        <f>Ledger!E365</f>
        <v/>
      </c>
      <c r="E365" s="8">
        <f>Ledger!F365</f>
        <v/>
      </c>
      <c r="F365" s="9">
        <f>Ledger!G365</f>
        <v/>
      </c>
    </row>
    <row r="366">
      <c r="A366" s="9">
        <f>IF(Ledger!I366&lt;&gt;"Open","",IF(Ledger!F366&lt;=TODAY()+7,"Yes","-"))</f>
        <v/>
      </c>
      <c r="B366" s="9">
        <f>Ledger!C366</f>
        <v/>
      </c>
      <c r="C366" s="9">
        <f>Ledger!D366</f>
        <v/>
      </c>
      <c r="D366" s="10">
        <f>Ledger!E366</f>
        <v/>
      </c>
      <c r="E366" s="8">
        <f>Ledger!F366</f>
        <v/>
      </c>
      <c r="F366" s="9">
        <f>Ledger!G366</f>
        <v/>
      </c>
    </row>
    <row r="367">
      <c r="A367" s="9">
        <f>IF(Ledger!I367&lt;&gt;"Open","",IF(Ledger!F367&lt;=TODAY()+7,"Yes","-"))</f>
        <v/>
      </c>
      <c r="B367" s="9">
        <f>Ledger!C367</f>
        <v/>
      </c>
      <c r="C367" s="9">
        <f>Ledger!D367</f>
        <v/>
      </c>
      <c r="D367" s="10">
        <f>Ledger!E367</f>
        <v/>
      </c>
      <c r="E367" s="8">
        <f>Ledger!F367</f>
        <v/>
      </c>
      <c r="F367" s="9">
        <f>Ledger!G367</f>
        <v/>
      </c>
    </row>
    <row r="368">
      <c r="A368" s="9">
        <f>IF(Ledger!I368&lt;&gt;"Open","",IF(Ledger!F368&lt;=TODAY()+7,"Yes","-"))</f>
        <v/>
      </c>
      <c r="B368" s="9">
        <f>Ledger!C368</f>
        <v/>
      </c>
      <c r="C368" s="9">
        <f>Ledger!D368</f>
        <v/>
      </c>
      <c r="D368" s="10">
        <f>Ledger!E368</f>
        <v/>
      </c>
      <c r="E368" s="8">
        <f>Ledger!F368</f>
        <v/>
      </c>
      <c r="F368" s="9">
        <f>Ledger!G368</f>
        <v/>
      </c>
    </row>
    <row r="369">
      <c r="A369" s="9">
        <f>IF(Ledger!I369&lt;&gt;"Open","",IF(Ledger!F369&lt;=TODAY()+7,"Yes","-"))</f>
        <v/>
      </c>
      <c r="B369" s="9">
        <f>Ledger!C369</f>
        <v/>
      </c>
      <c r="C369" s="9">
        <f>Ledger!D369</f>
        <v/>
      </c>
      <c r="D369" s="10">
        <f>Ledger!E369</f>
        <v/>
      </c>
      <c r="E369" s="8">
        <f>Ledger!F369</f>
        <v/>
      </c>
      <c r="F369" s="9">
        <f>Ledger!G369</f>
        <v/>
      </c>
    </row>
    <row r="370">
      <c r="A370" s="9">
        <f>IF(Ledger!I370&lt;&gt;"Open","",IF(Ledger!F370&lt;=TODAY()+7,"Yes","-"))</f>
        <v/>
      </c>
      <c r="B370" s="9">
        <f>Ledger!C370</f>
        <v/>
      </c>
      <c r="C370" s="9">
        <f>Ledger!D370</f>
        <v/>
      </c>
      <c r="D370" s="10">
        <f>Ledger!E370</f>
        <v/>
      </c>
      <c r="E370" s="8">
        <f>Ledger!F370</f>
        <v/>
      </c>
      <c r="F370" s="9">
        <f>Ledger!G370</f>
        <v/>
      </c>
    </row>
    <row r="371">
      <c r="A371" s="9">
        <f>IF(Ledger!I371&lt;&gt;"Open","",IF(Ledger!F371&lt;=TODAY()+7,"Yes","-"))</f>
        <v/>
      </c>
      <c r="B371" s="9">
        <f>Ledger!C371</f>
        <v/>
      </c>
      <c r="C371" s="9">
        <f>Ledger!D371</f>
        <v/>
      </c>
      <c r="D371" s="10">
        <f>Ledger!E371</f>
        <v/>
      </c>
      <c r="E371" s="8">
        <f>Ledger!F371</f>
        <v/>
      </c>
      <c r="F371" s="9">
        <f>Ledger!G371</f>
        <v/>
      </c>
    </row>
    <row r="372">
      <c r="A372" s="9">
        <f>IF(Ledger!I372&lt;&gt;"Open","",IF(Ledger!F372&lt;=TODAY()+7,"Yes","-"))</f>
        <v/>
      </c>
      <c r="B372" s="9">
        <f>Ledger!C372</f>
        <v/>
      </c>
      <c r="C372" s="9">
        <f>Ledger!D372</f>
        <v/>
      </c>
      <c r="D372" s="10">
        <f>Ledger!E372</f>
        <v/>
      </c>
      <c r="E372" s="8">
        <f>Ledger!F372</f>
        <v/>
      </c>
      <c r="F372" s="9">
        <f>Ledger!G372</f>
        <v/>
      </c>
    </row>
    <row r="373">
      <c r="A373" s="9">
        <f>IF(Ledger!I373&lt;&gt;"Open","",IF(Ledger!F373&lt;=TODAY()+7,"Yes","-"))</f>
        <v/>
      </c>
      <c r="B373" s="9">
        <f>Ledger!C373</f>
        <v/>
      </c>
      <c r="C373" s="9">
        <f>Ledger!D373</f>
        <v/>
      </c>
      <c r="D373" s="10">
        <f>Ledger!E373</f>
        <v/>
      </c>
      <c r="E373" s="8">
        <f>Ledger!F373</f>
        <v/>
      </c>
      <c r="F373" s="9">
        <f>Ledger!G373</f>
        <v/>
      </c>
    </row>
    <row r="374">
      <c r="A374" s="9">
        <f>IF(Ledger!I374&lt;&gt;"Open","",IF(Ledger!F374&lt;=TODAY()+7,"Yes","-"))</f>
        <v/>
      </c>
      <c r="B374" s="9">
        <f>Ledger!C374</f>
        <v/>
      </c>
      <c r="C374" s="9">
        <f>Ledger!D374</f>
        <v/>
      </c>
      <c r="D374" s="10">
        <f>Ledger!E374</f>
        <v/>
      </c>
      <c r="E374" s="8">
        <f>Ledger!F374</f>
        <v/>
      </c>
      <c r="F374" s="9">
        <f>Ledger!G374</f>
        <v/>
      </c>
    </row>
    <row r="375">
      <c r="A375" s="9">
        <f>IF(Ledger!I375&lt;&gt;"Open","",IF(Ledger!F375&lt;=TODAY()+7,"Yes","-"))</f>
        <v/>
      </c>
      <c r="B375" s="9">
        <f>Ledger!C375</f>
        <v/>
      </c>
      <c r="C375" s="9">
        <f>Ledger!D375</f>
        <v/>
      </c>
      <c r="D375" s="10">
        <f>Ledger!E375</f>
        <v/>
      </c>
      <c r="E375" s="8">
        <f>Ledger!F375</f>
        <v/>
      </c>
      <c r="F375" s="9">
        <f>Ledger!G375</f>
        <v/>
      </c>
    </row>
    <row r="376">
      <c r="A376" s="9">
        <f>IF(Ledger!I376&lt;&gt;"Open","",IF(Ledger!F376&lt;=TODAY()+7,"Yes","-"))</f>
        <v/>
      </c>
      <c r="B376" s="9">
        <f>Ledger!C376</f>
        <v/>
      </c>
      <c r="C376" s="9">
        <f>Ledger!D376</f>
        <v/>
      </c>
      <c r="D376" s="10">
        <f>Ledger!E376</f>
        <v/>
      </c>
      <c r="E376" s="8">
        <f>Ledger!F376</f>
        <v/>
      </c>
      <c r="F376" s="9">
        <f>Ledger!G376</f>
        <v/>
      </c>
    </row>
    <row r="377">
      <c r="A377" s="9">
        <f>IF(Ledger!I377&lt;&gt;"Open","",IF(Ledger!F377&lt;=TODAY()+7,"Yes","-"))</f>
        <v/>
      </c>
      <c r="B377" s="9">
        <f>Ledger!C377</f>
        <v/>
      </c>
      <c r="C377" s="9">
        <f>Ledger!D377</f>
        <v/>
      </c>
      <c r="D377" s="10">
        <f>Ledger!E377</f>
        <v/>
      </c>
      <c r="E377" s="8">
        <f>Ledger!F377</f>
        <v/>
      </c>
      <c r="F377" s="9">
        <f>Ledger!G377</f>
        <v/>
      </c>
    </row>
    <row r="378">
      <c r="A378" s="9">
        <f>IF(Ledger!I378&lt;&gt;"Open","",IF(Ledger!F378&lt;=TODAY()+7,"Yes","-"))</f>
        <v/>
      </c>
      <c r="B378" s="9">
        <f>Ledger!C378</f>
        <v/>
      </c>
      <c r="C378" s="9">
        <f>Ledger!D378</f>
        <v/>
      </c>
      <c r="D378" s="10">
        <f>Ledger!E378</f>
        <v/>
      </c>
      <c r="E378" s="8">
        <f>Ledger!F378</f>
        <v/>
      </c>
      <c r="F378" s="9">
        <f>Ledger!G378</f>
        <v/>
      </c>
    </row>
    <row r="379">
      <c r="A379" s="9">
        <f>IF(Ledger!I379&lt;&gt;"Open","",IF(Ledger!F379&lt;=TODAY()+7,"Yes","-"))</f>
        <v/>
      </c>
      <c r="B379" s="9">
        <f>Ledger!C379</f>
        <v/>
      </c>
      <c r="C379" s="9">
        <f>Ledger!D379</f>
        <v/>
      </c>
      <c r="D379" s="10">
        <f>Ledger!E379</f>
        <v/>
      </c>
      <c r="E379" s="8">
        <f>Ledger!F379</f>
        <v/>
      </c>
      <c r="F379" s="9">
        <f>Ledger!G379</f>
        <v/>
      </c>
    </row>
    <row r="380">
      <c r="A380" s="9">
        <f>IF(Ledger!I380&lt;&gt;"Open","",IF(Ledger!F380&lt;=TODAY()+7,"Yes","-"))</f>
        <v/>
      </c>
      <c r="B380" s="9">
        <f>Ledger!C380</f>
        <v/>
      </c>
      <c r="C380" s="9">
        <f>Ledger!D380</f>
        <v/>
      </c>
      <c r="D380" s="10">
        <f>Ledger!E380</f>
        <v/>
      </c>
      <c r="E380" s="8">
        <f>Ledger!F380</f>
        <v/>
      </c>
      <c r="F380" s="9">
        <f>Ledger!G380</f>
        <v/>
      </c>
    </row>
    <row r="381">
      <c r="A381" s="9">
        <f>IF(Ledger!I381&lt;&gt;"Open","",IF(Ledger!F381&lt;=TODAY()+7,"Yes","-"))</f>
        <v/>
      </c>
      <c r="B381" s="9">
        <f>Ledger!C381</f>
        <v/>
      </c>
      <c r="C381" s="9">
        <f>Ledger!D381</f>
        <v/>
      </c>
      <c r="D381" s="10">
        <f>Ledger!E381</f>
        <v/>
      </c>
      <c r="E381" s="8">
        <f>Ledger!F381</f>
        <v/>
      </c>
      <c r="F381" s="9">
        <f>Ledger!G381</f>
        <v/>
      </c>
    </row>
    <row r="382">
      <c r="A382" s="9">
        <f>IF(Ledger!I382&lt;&gt;"Open","",IF(Ledger!F382&lt;=TODAY()+7,"Yes","-"))</f>
        <v/>
      </c>
      <c r="B382" s="9">
        <f>Ledger!C382</f>
        <v/>
      </c>
      <c r="C382" s="9">
        <f>Ledger!D382</f>
        <v/>
      </c>
      <c r="D382" s="10">
        <f>Ledger!E382</f>
        <v/>
      </c>
      <c r="E382" s="8">
        <f>Ledger!F382</f>
        <v/>
      </c>
      <c r="F382" s="9">
        <f>Ledger!G382</f>
        <v/>
      </c>
    </row>
    <row r="383">
      <c r="A383" s="9">
        <f>IF(Ledger!I383&lt;&gt;"Open","",IF(Ledger!F383&lt;=TODAY()+7,"Yes","-"))</f>
        <v/>
      </c>
      <c r="B383" s="9">
        <f>Ledger!C383</f>
        <v/>
      </c>
      <c r="C383" s="9">
        <f>Ledger!D383</f>
        <v/>
      </c>
      <c r="D383" s="10">
        <f>Ledger!E383</f>
        <v/>
      </c>
      <c r="E383" s="8">
        <f>Ledger!F383</f>
        <v/>
      </c>
      <c r="F383" s="9">
        <f>Ledger!G383</f>
        <v/>
      </c>
    </row>
    <row r="384">
      <c r="A384" s="9">
        <f>IF(Ledger!I384&lt;&gt;"Open","",IF(Ledger!F384&lt;=TODAY()+7,"Yes","-"))</f>
        <v/>
      </c>
      <c r="B384" s="9">
        <f>Ledger!C384</f>
        <v/>
      </c>
      <c r="C384" s="9">
        <f>Ledger!D384</f>
        <v/>
      </c>
      <c r="D384" s="10">
        <f>Ledger!E384</f>
        <v/>
      </c>
      <c r="E384" s="8">
        <f>Ledger!F384</f>
        <v/>
      </c>
      <c r="F384" s="9">
        <f>Ledger!G384</f>
        <v/>
      </c>
    </row>
    <row r="385">
      <c r="A385" s="9">
        <f>IF(Ledger!I385&lt;&gt;"Open","",IF(Ledger!F385&lt;=TODAY()+7,"Yes","-"))</f>
        <v/>
      </c>
      <c r="B385" s="9">
        <f>Ledger!C385</f>
        <v/>
      </c>
      <c r="C385" s="9">
        <f>Ledger!D385</f>
        <v/>
      </c>
      <c r="D385" s="10">
        <f>Ledger!E385</f>
        <v/>
      </c>
      <c r="E385" s="8">
        <f>Ledger!F385</f>
        <v/>
      </c>
      <c r="F385" s="9">
        <f>Ledger!G385</f>
        <v/>
      </c>
    </row>
    <row r="386">
      <c r="A386" s="9">
        <f>IF(Ledger!I386&lt;&gt;"Open","",IF(Ledger!F386&lt;=TODAY()+7,"Yes","-"))</f>
        <v/>
      </c>
      <c r="B386" s="9">
        <f>Ledger!C386</f>
        <v/>
      </c>
      <c r="C386" s="9">
        <f>Ledger!D386</f>
        <v/>
      </c>
      <c r="D386" s="10">
        <f>Ledger!E386</f>
        <v/>
      </c>
      <c r="E386" s="8">
        <f>Ledger!F386</f>
        <v/>
      </c>
      <c r="F386" s="9">
        <f>Ledger!G386</f>
        <v/>
      </c>
    </row>
    <row r="387">
      <c r="A387" s="9">
        <f>IF(Ledger!I387&lt;&gt;"Open","",IF(Ledger!F387&lt;=TODAY()+7,"Yes","-"))</f>
        <v/>
      </c>
      <c r="B387" s="9">
        <f>Ledger!C387</f>
        <v/>
      </c>
      <c r="C387" s="9">
        <f>Ledger!D387</f>
        <v/>
      </c>
      <c r="D387" s="10">
        <f>Ledger!E387</f>
        <v/>
      </c>
      <c r="E387" s="8">
        <f>Ledger!F387</f>
        <v/>
      </c>
      <c r="F387" s="9">
        <f>Ledger!G387</f>
        <v/>
      </c>
    </row>
    <row r="388">
      <c r="A388" s="9">
        <f>IF(Ledger!I388&lt;&gt;"Open","",IF(Ledger!F388&lt;=TODAY()+7,"Yes","-"))</f>
        <v/>
      </c>
      <c r="B388" s="9">
        <f>Ledger!C388</f>
        <v/>
      </c>
      <c r="C388" s="9">
        <f>Ledger!D388</f>
        <v/>
      </c>
      <c r="D388" s="10">
        <f>Ledger!E388</f>
        <v/>
      </c>
      <c r="E388" s="8">
        <f>Ledger!F388</f>
        <v/>
      </c>
      <c r="F388" s="9">
        <f>Ledger!G388</f>
        <v/>
      </c>
    </row>
    <row r="389">
      <c r="A389" s="9">
        <f>IF(Ledger!I389&lt;&gt;"Open","",IF(Ledger!F389&lt;=TODAY()+7,"Yes","-"))</f>
        <v/>
      </c>
      <c r="B389" s="9">
        <f>Ledger!C389</f>
        <v/>
      </c>
      <c r="C389" s="9">
        <f>Ledger!D389</f>
        <v/>
      </c>
      <c r="D389" s="10">
        <f>Ledger!E389</f>
        <v/>
      </c>
      <c r="E389" s="8">
        <f>Ledger!F389</f>
        <v/>
      </c>
      <c r="F389" s="9">
        <f>Ledger!G389</f>
        <v/>
      </c>
    </row>
    <row r="390">
      <c r="A390" s="9">
        <f>IF(Ledger!I390&lt;&gt;"Open","",IF(Ledger!F390&lt;=TODAY()+7,"Yes","-"))</f>
        <v/>
      </c>
      <c r="B390" s="9">
        <f>Ledger!C390</f>
        <v/>
      </c>
      <c r="C390" s="9">
        <f>Ledger!D390</f>
        <v/>
      </c>
      <c r="D390" s="10">
        <f>Ledger!E390</f>
        <v/>
      </c>
      <c r="E390" s="8">
        <f>Ledger!F390</f>
        <v/>
      </c>
      <c r="F390" s="9">
        <f>Ledger!G390</f>
        <v/>
      </c>
    </row>
    <row r="391">
      <c r="A391" s="9">
        <f>IF(Ledger!I391&lt;&gt;"Open","",IF(Ledger!F391&lt;=TODAY()+7,"Yes","-"))</f>
        <v/>
      </c>
      <c r="B391" s="9">
        <f>Ledger!C391</f>
        <v/>
      </c>
      <c r="C391" s="9">
        <f>Ledger!D391</f>
        <v/>
      </c>
      <c r="D391" s="10">
        <f>Ledger!E391</f>
        <v/>
      </c>
      <c r="E391" s="8">
        <f>Ledger!F391</f>
        <v/>
      </c>
      <c r="F391" s="9">
        <f>Ledger!G391</f>
        <v/>
      </c>
    </row>
    <row r="392">
      <c r="A392" s="9">
        <f>IF(Ledger!I392&lt;&gt;"Open","",IF(Ledger!F392&lt;=TODAY()+7,"Yes","-"))</f>
        <v/>
      </c>
      <c r="B392" s="9">
        <f>Ledger!C392</f>
        <v/>
      </c>
      <c r="C392" s="9">
        <f>Ledger!D392</f>
        <v/>
      </c>
      <c r="D392" s="10">
        <f>Ledger!E392</f>
        <v/>
      </c>
      <c r="E392" s="8">
        <f>Ledger!F392</f>
        <v/>
      </c>
      <c r="F392" s="9">
        <f>Ledger!G392</f>
        <v/>
      </c>
    </row>
    <row r="393">
      <c r="A393" s="9">
        <f>IF(Ledger!I393&lt;&gt;"Open","",IF(Ledger!F393&lt;=TODAY()+7,"Yes","-"))</f>
        <v/>
      </c>
      <c r="B393" s="9">
        <f>Ledger!C393</f>
        <v/>
      </c>
      <c r="C393" s="9">
        <f>Ledger!D393</f>
        <v/>
      </c>
      <c r="D393" s="10">
        <f>Ledger!E393</f>
        <v/>
      </c>
      <c r="E393" s="8">
        <f>Ledger!F393</f>
        <v/>
      </c>
      <c r="F393" s="9">
        <f>Ledger!G393</f>
        <v/>
      </c>
    </row>
    <row r="394">
      <c r="A394" s="9">
        <f>IF(Ledger!I394&lt;&gt;"Open","",IF(Ledger!F394&lt;=TODAY()+7,"Yes","-"))</f>
        <v/>
      </c>
      <c r="B394" s="9">
        <f>Ledger!C394</f>
        <v/>
      </c>
      <c r="C394" s="9">
        <f>Ledger!D394</f>
        <v/>
      </c>
      <c r="D394" s="10">
        <f>Ledger!E394</f>
        <v/>
      </c>
      <c r="E394" s="8">
        <f>Ledger!F394</f>
        <v/>
      </c>
      <c r="F394" s="9">
        <f>Ledger!G394</f>
        <v/>
      </c>
    </row>
    <row r="395">
      <c r="A395" s="9">
        <f>IF(Ledger!I395&lt;&gt;"Open","",IF(Ledger!F395&lt;=TODAY()+7,"Yes","-"))</f>
        <v/>
      </c>
      <c r="B395" s="9">
        <f>Ledger!C395</f>
        <v/>
      </c>
      <c r="C395" s="9">
        <f>Ledger!D395</f>
        <v/>
      </c>
      <c r="D395" s="10">
        <f>Ledger!E395</f>
        <v/>
      </c>
      <c r="E395" s="8">
        <f>Ledger!F395</f>
        <v/>
      </c>
      <c r="F395" s="9">
        <f>Ledger!G395</f>
        <v/>
      </c>
    </row>
    <row r="396">
      <c r="A396" s="9">
        <f>IF(Ledger!I396&lt;&gt;"Open","",IF(Ledger!F396&lt;=TODAY()+7,"Yes","-"))</f>
        <v/>
      </c>
      <c r="B396" s="9">
        <f>Ledger!C396</f>
        <v/>
      </c>
      <c r="C396" s="9">
        <f>Ledger!D396</f>
        <v/>
      </c>
      <c r="D396" s="10">
        <f>Ledger!E396</f>
        <v/>
      </c>
      <c r="E396" s="8">
        <f>Ledger!F396</f>
        <v/>
      </c>
      <c r="F396" s="9">
        <f>Ledger!G396</f>
        <v/>
      </c>
    </row>
    <row r="397">
      <c r="A397" s="9">
        <f>IF(Ledger!I397&lt;&gt;"Open","",IF(Ledger!F397&lt;=TODAY()+7,"Yes","-"))</f>
        <v/>
      </c>
      <c r="B397" s="9">
        <f>Ledger!C397</f>
        <v/>
      </c>
      <c r="C397" s="9">
        <f>Ledger!D397</f>
        <v/>
      </c>
      <c r="D397" s="10">
        <f>Ledger!E397</f>
        <v/>
      </c>
      <c r="E397" s="8">
        <f>Ledger!F397</f>
        <v/>
      </c>
      <c r="F397" s="9">
        <f>Ledger!G397</f>
        <v/>
      </c>
    </row>
    <row r="398">
      <c r="A398" s="9">
        <f>IF(Ledger!I398&lt;&gt;"Open","",IF(Ledger!F398&lt;=TODAY()+7,"Yes","-"))</f>
        <v/>
      </c>
      <c r="B398" s="9">
        <f>Ledger!C398</f>
        <v/>
      </c>
      <c r="C398" s="9">
        <f>Ledger!D398</f>
        <v/>
      </c>
      <c r="D398" s="10">
        <f>Ledger!E398</f>
        <v/>
      </c>
      <c r="E398" s="8">
        <f>Ledger!F398</f>
        <v/>
      </c>
      <c r="F398" s="9">
        <f>Ledger!G398</f>
        <v/>
      </c>
    </row>
    <row r="399">
      <c r="A399" s="9">
        <f>IF(Ledger!I399&lt;&gt;"Open","",IF(Ledger!F399&lt;=TODAY()+7,"Yes","-"))</f>
        <v/>
      </c>
      <c r="B399" s="9">
        <f>Ledger!C399</f>
        <v/>
      </c>
      <c r="C399" s="9">
        <f>Ledger!D399</f>
        <v/>
      </c>
      <c r="D399" s="10">
        <f>Ledger!E399</f>
        <v/>
      </c>
      <c r="E399" s="8">
        <f>Ledger!F399</f>
        <v/>
      </c>
      <c r="F399" s="9">
        <f>Ledger!G399</f>
        <v/>
      </c>
    </row>
    <row r="400">
      <c r="A400" s="9">
        <f>IF(Ledger!I400&lt;&gt;"Open","",IF(Ledger!F400&lt;=TODAY()+7,"Yes","-"))</f>
        <v/>
      </c>
      <c r="B400" s="9">
        <f>Ledger!C400</f>
        <v/>
      </c>
      <c r="C400" s="9">
        <f>Ledger!D400</f>
        <v/>
      </c>
      <c r="D400" s="10">
        <f>Ledger!E400</f>
        <v/>
      </c>
      <c r="E400" s="8">
        <f>Ledger!F400</f>
        <v/>
      </c>
      <c r="F400" s="9">
        <f>Ledger!G400</f>
        <v/>
      </c>
    </row>
    <row r="401">
      <c r="A401" s="9">
        <f>IF(Ledger!I401&lt;&gt;"Open","",IF(Ledger!F401&lt;=TODAY()+7,"Yes","-"))</f>
        <v/>
      </c>
      <c r="B401" s="9">
        <f>Ledger!C401</f>
        <v/>
      </c>
      <c r="C401" s="9">
        <f>Ledger!D401</f>
        <v/>
      </c>
      <c r="D401" s="10">
        <f>Ledger!E401</f>
        <v/>
      </c>
      <c r="E401" s="8">
        <f>Ledger!F401</f>
        <v/>
      </c>
      <c r="F401" s="9">
        <f>Ledger!G401</f>
        <v/>
      </c>
    </row>
    <row r="402">
      <c r="A402" s="9">
        <f>IF(Ledger!I402&lt;&gt;"Open","",IF(Ledger!F402&lt;=TODAY()+7,"Yes","-"))</f>
        <v/>
      </c>
      <c r="B402" s="9">
        <f>Ledger!C402</f>
        <v/>
      </c>
      <c r="C402" s="9">
        <f>Ledger!D402</f>
        <v/>
      </c>
      <c r="D402" s="10">
        <f>Ledger!E402</f>
        <v/>
      </c>
      <c r="E402" s="8">
        <f>Ledger!F402</f>
        <v/>
      </c>
      <c r="F402" s="9">
        <f>Ledger!G402</f>
        <v/>
      </c>
    </row>
    <row r="403">
      <c r="A403" s="9">
        <f>IF(Ledger!I403&lt;&gt;"Open","",IF(Ledger!F403&lt;=TODAY()+7,"Yes","-"))</f>
        <v/>
      </c>
      <c r="B403" s="9">
        <f>Ledger!C403</f>
        <v/>
      </c>
      <c r="C403" s="9">
        <f>Ledger!D403</f>
        <v/>
      </c>
      <c r="D403" s="10">
        <f>Ledger!E403</f>
        <v/>
      </c>
      <c r="E403" s="8">
        <f>Ledger!F403</f>
        <v/>
      </c>
      <c r="F403" s="9">
        <f>Ledger!G403</f>
        <v/>
      </c>
    </row>
    <row r="404">
      <c r="A404" s="9">
        <f>IF(Ledger!I404&lt;&gt;"Open","",IF(Ledger!F404&lt;=TODAY()+7,"Yes","-"))</f>
        <v/>
      </c>
      <c r="B404" s="9">
        <f>Ledger!C404</f>
        <v/>
      </c>
      <c r="C404" s="9">
        <f>Ledger!D404</f>
        <v/>
      </c>
      <c r="D404" s="10">
        <f>Ledger!E404</f>
        <v/>
      </c>
      <c r="E404" s="8">
        <f>Ledger!F404</f>
        <v/>
      </c>
      <c r="F404" s="9">
        <f>Ledger!G404</f>
        <v/>
      </c>
    </row>
    <row r="405">
      <c r="A405" s="9">
        <f>IF(Ledger!I405&lt;&gt;"Open","",IF(Ledger!F405&lt;=TODAY()+7,"Yes","-"))</f>
        <v/>
      </c>
      <c r="B405" s="9">
        <f>Ledger!C405</f>
        <v/>
      </c>
      <c r="C405" s="9">
        <f>Ledger!D405</f>
        <v/>
      </c>
      <c r="D405" s="10">
        <f>Ledger!E405</f>
        <v/>
      </c>
      <c r="E405" s="8">
        <f>Ledger!F405</f>
        <v/>
      </c>
      <c r="F405" s="9">
        <f>Ledger!G405</f>
        <v/>
      </c>
    </row>
    <row r="406">
      <c r="A406" s="9">
        <f>IF(Ledger!I406&lt;&gt;"Open","",IF(Ledger!F406&lt;=TODAY()+7,"Yes","-"))</f>
        <v/>
      </c>
      <c r="B406" s="9">
        <f>Ledger!C406</f>
        <v/>
      </c>
      <c r="C406" s="9">
        <f>Ledger!D406</f>
        <v/>
      </c>
      <c r="D406" s="10">
        <f>Ledger!E406</f>
        <v/>
      </c>
      <c r="E406" s="8">
        <f>Ledger!F406</f>
        <v/>
      </c>
      <c r="F406" s="9">
        <f>Ledger!G406</f>
        <v/>
      </c>
    </row>
    <row r="407">
      <c r="A407" s="9">
        <f>IF(Ledger!I407&lt;&gt;"Open","",IF(Ledger!F407&lt;=TODAY()+7,"Yes","-"))</f>
        <v/>
      </c>
      <c r="B407" s="9">
        <f>Ledger!C407</f>
        <v/>
      </c>
      <c r="C407" s="9">
        <f>Ledger!D407</f>
        <v/>
      </c>
      <c r="D407" s="10">
        <f>Ledger!E407</f>
        <v/>
      </c>
      <c r="E407" s="8">
        <f>Ledger!F407</f>
        <v/>
      </c>
      <c r="F407" s="9">
        <f>Ledger!G407</f>
        <v/>
      </c>
    </row>
    <row r="408">
      <c r="A408" s="9">
        <f>IF(Ledger!I408&lt;&gt;"Open","",IF(Ledger!F408&lt;=TODAY()+7,"Yes","-"))</f>
        <v/>
      </c>
      <c r="B408" s="9">
        <f>Ledger!C408</f>
        <v/>
      </c>
      <c r="C408" s="9">
        <f>Ledger!D408</f>
        <v/>
      </c>
      <c r="D408" s="10">
        <f>Ledger!E408</f>
        <v/>
      </c>
      <c r="E408" s="8">
        <f>Ledger!F408</f>
        <v/>
      </c>
      <c r="F408" s="9">
        <f>Ledger!G408</f>
        <v/>
      </c>
    </row>
    <row r="409">
      <c r="A409" s="9">
        <f>IF(Ledger!I409&lt;&gt;"Open","",IF(Ledger!F409&lt;=TODAY()+7,"Yes","-"))</f>
        <v/>
      </c>
      <c r="B409" s="9">
        <f>Ledger!C409</f>
        <v/>
      </c>
      <c r="C409" s="9">
        <f>Ledger!D409</f>
        <v/>
      </c>
      <c r="D409" s="10">
        <f>Ledger!E409</f>
        <v/>
      </c>
      <c r="E409" s="8">
        <f>Ledger!F409</f>
        <v/>
      </c>
      <c r="F409" s="9">
        <f>Ledger!G409</f>
        <v/>
      </c>
    </row>
    <row r="410">
      <c r="A410" s="9">
        <f>IF(Ledger!I410&lt;&gt;"Open","",IF(Ledger!F410&lt;=TODAY()+7,"Yes","-"))</f>
        <v/>
      </c>
      <c r="B410" s="9">
        <f>Ledger!C410</f>
        <v/>
      </c>
      <c r="C410" s="9">
        <f>Ledger!D410</f>
        <v/>
      </c>
      <c r="D410" s="10">
        <f>Ledger!E410</f>
        <v/>
      </c>
      <c r="E410" s="8">
        <f>Ledger!F410</f>
        <v/>
      </c>
      <c r="F410" s="9">
        <f>Ledger!G410</f>
        <v/>
      </c>
    </row>
    <row r="411">
      <c r="A411" s="9">
        <f>IF(Ledger!I411&lt;&gt;"Open","",IF(Ledger!F411&lt;=TODAY()+7,"Yes","-"))</f>
        <v/>
      </c>
      <c r="B411" s="9">
        <f>Ledger!C411</f>
        <v/>
      </c>
      <c r="C411" s="9">
        <f>Ledger!D411</f>
        <v/>
      </c>
      <c r="D411" s="10">
        <f>Ledger!E411</f>
        <v/>
      </c>
      <c r="E411" s="8">
        <f>Ledger!F411</f>
        <v/>
      </c>
      <c r="F411" s="9">
        <f>Ledger!G411</f>
        <v/>
      </c>
    </row>
    <row r="412">
      <c r="A412" s="9">
        <f>IF(Ledger!I412&lt;&gt;"Open","",IF(Ledger!F412&lt;=TODAY()+7,"Yes","-"))</f>
        <v/>
      </c>
      <c r="B412" s="9">
        <f>Ledger!C412</f>
        <v/>
      </c>
      <c r="C412" s="9">
        <f>Ledger!D412</f>
        <v/>
      </c>
      <c r="D412" s="10">
        <f>Ledger!E412</f>
        <v/>
      </c>
      <c r="E412" s="8">
        <f>Ledger!F412</f>
        <v/>
      </c>
      <c r="F412" s="9">
        <f>Ledger!G412</f>
        <v/>
      </c>
    </row>
    <row r="413">
      <c r="A413" s="9">
        <f>IF(Ledger!I413&lt;&gt;"Open","",IF(Ledger!F413&lt;=TODAY()+7,"Yes","-"))</f>
        <v/>
      </c>
      <c r="B413" s="9">
        <f>Ledger!C413</f>
        <v/>
      </c>
      <c r="C413" s="9">
        <f>Ledger!D413</f>
        <v/>
      </c>
      <c r="D413" s="10">
        <f>Ledger!E413</f>
        <v/>
      </c>
      <c r="E413" s="8">
        <f>Ledger!F413</f>
        <v/>
      </c>
      <c r="F413" s="9">
        <f>Ledger!G413</f>
        <v/>
      </c>
    </row>
    <row r="414">
      <c r="A414" s="9">
        <f>IF(Ledger!I414&lt;&gt;"Open","",IF(Ledger!F414&lt;=TODAY()+7,"Yes","-"))</f>
        <v/>
      </c>
      <c r="B414" s="9">
        <f>Ledger!C414</f>
        <v/>
      </c>
      <c r="C414" s="9">
        <f>Ledger!D414</f>
        <v/>
      </c>
      <c r="D414" s="10">
        <f>Ledger!E414</f>
        <v/>
      </c>
      <c r="E414" s="8">
        <f>Ledger!F414</f>
        <v/>
      </c>
      <c r="F414" s="9">
        <f>Ledger!G414</f>
        <v/>
      </c>
    </row>
    <row r="415">
      <c r="A415" s="9">
        <f>IF(Ledger!I415&lt;&gt;"Open","",IF(Ledger!F415&lt;=TODAY()+7,"Yes","-"))</f>
        <v/>
      </c>
      <c r="B415" s="9">
        <f>Ledger!C415</f>
        <v/>
      </c>
      <c r="C415" s="9">
        <f>Ledger!D415</f>
        <v/>
      </c>
      <c r="D415" s="10">
        <f>Ledger!E415</f>
        <v/>
      </c>
      <c r="E415" s="8">
        <f>Ledger!F415</f>
        <v/>
      </c>
      <c r="F415" s="9">
        <f>Ledger!G415</f>
        <v/>
      </c>
    </row>
    <row r="416">
      <c r="A416" s="9">
        <f>IF(Ledger!I416&lt;&gt;"Open","",IF(Ledger!F416&lt;=TODAY()+7,"Yes","-"))</f>
        <v/>
      </c>
      <c r="B416" s="9">
        <f>Ledger!C416</f>
        <v/>
      </c>
      <c r="C416" s="9">
        <f>Ledger!D416</f>
        <v/>
      </c>
      <c r="D416" s="10">
        <f>Ledger!E416</f>
        <v/>
      </c>
      <c r="E416" s="8">
        <f>Ledger!F416</f>
        <v/>
      </c>
      <c r="F416" s="9">
        <f>Ledger!G416</f>
        <v/>
      </c>
    </row>
    <row r="417">
      <c r="A417" s="9">
        <f>IF(Ledger!I417&lt;&gt;"Open","",IF(Ledger!F417&lt;=TODAY()+7,"Yes","-"))</f>
        <v/>
      </c>
      <c r="B417" s="9">
        <f>Ledger!C417</f>
        <v/>
      </c>
      <c r="C417" s="9">
        <f>Ledger!D417</f>
        <v/>
      </c>
      <c r="D417" s="10">
        <f>Ledger!E417</f>
        <v/>
      </c>
      <c r="E417" s="8">
        <f>Ledger!F417</f>
        <v/>
      </c>
      <c r="F417" s="9">
        <f>Ledger!G417</f>
        <v/>
      </c>
    </row>
    <row r="418">
      <c r="A418" s="9">
        <f>IF(Ledger!I418&lt;&gt;"Open","",IF(Ledger!F418&lt;=TODAY()+7,"Yes","-"))</f>
        <v/>
      </c>
      <c r="B418" s="9">
        <f>Ledger!C418</f>
        <v/>
      </c>
      <c r="C418" s="9">
        <f>Ledger!D418</f>
        <v/>
      </c>
      <c r="D418" s="10">
        <f>Ledger!E418</f>
        <v/>
      </c>
      <c r="E418" s="8">
        <f>Ledger!F418</f>
        <v/>
      </c>
      <c r="F418" s="9">
        <f>Ledger!G418</f>
        <v/>
      </c>
    </row>
    <row r="419">
      <c r="A419" s="9">
        <f>IF(Ledger!I419&lt;&gt;"Open","",IF(Ledger!F419&lt;=TODAY()+7,"Yes","-"))</f>
        <v/>
      </c>
      <c r="B419" s="9">
        <f>Ledger!C419</f>
        <v/>
      </c>
      <c r="C419" s="9">
        <f>Ledger!D419</f>
        <v/>
      </c>
      <c r="D419" s="10">
        <f>Ledger!E419</f>
        <v/>
      </c>
      <c r="E419" s="8">
        <f>Ledger!F419</f>
        <v/>
      </c>
      <c r="F419" s="9">
        <f>Ledger!G419</f>
        <v/>
      </c>
    </row>
    <row r="420">
      <c r="A420" s="9">
        <f>IF(Ledger!I420&lt;&gt;"Open","",IF(Ledger!F420&lt;=TODAY()+7,"Yes","-"))</f>
        <v/>
      </c>
      <c r="B420" s="9">
        <f>Ledger!C420</f>
        <v/>
      </c>
      <c r="C420" s="9">
        <f>Ledger!D420</f>
        <v/>
      </c>
      <c r="D420" s="10">
        <f>Ledger!E420</f>
        <v/>
      </c>
      <c r="E420" s="8">
        <f>Ledger!F420</f>
        <v/>
      </c>
      <c r="F420" s="9">
        <f>Ledger!G420</f>
        <v/>
      </c>
    </row>
    <row r="421">
      <c r="A421" s="9">
        <f>IF(Ledger!I421&lt;&gt;"Open","",IF(Ledger!F421&lt;=TODAY()+7,"Yes","-"))</f>
        <v/>
      </c>
      <c r="B421" s="9">
        <f>Ledger!C421</f>
        <v/>
      </c>
      <c r="C421" s="9">
        <f>Ledger!D421</f>
        <v/>
      </c>
      <c r="D421" s="10">
        <f>Ledger!E421</f>
        <v/>
      </c>
      <c r="E421" s="8">
        <f>Ledger!F421</f>
        <v/>
      </c>
      <c r="F421" s="9">
        <f>Ledger!G421</f>
        <v/>
      </c>
    </row>
    <row r="422">
      <c r="A422" s="9">
        <f>IF(Ledger!I422&lt;&gt;"Open","",IF(Ledger!F422&lt;=TODAY()+7,"Yes","-"))</f>
        <v/>
      </c>
      <c r="B422" s="9">
        <f>Ledger!C422</f>
        <v/>
      </c>
      <c r="C422" s="9">
        <f>Ledger!D422</f>
        <v/>
      </c>
      <c r="D422" s="10">
        <f>Ledger!E422</f>
        <v/>
      </c>
      <c r="E422" s="8">
        <f>Ledger!F422</f>
        <v/>
      </c>
      <c r="F422" s="9">
        <f>Ledger!G422</f>
        <v/>
      </c>
    </row>
    <row r="423">
      <c r="A423" s="9">
        <f>IF(Ledger!I423&lt;&gt;"Open","",IF(Ledger!F423&lt;=TODAY()+7,"Yes","-"))</f>
        <v/>
      </c>
      <c r="B423" s="9">
        <f>Ledger!C423</f>
        <v/>
      </c>
      <c r="C423" s="9">
        <f>Ledger!D423</f>
        <v/>
      </c>
      <c r="D423" s="10">
        <f>Ledger!E423</f>
        <v/>
      </c>
      <c r="E423" s="8">
        <f>Ledger!F423</f>
        <v/>
      </c>
      <c r="F423" s="9">
        <f>Ledger!G423</f>
        <v/>
      </c>
    </row>
    <row r="424">
      <c r="A424" s="9">
        <f>IF(Ledger!I424&lt;&gt;"Open","",IF(Ledger!F424&lt;=TODAY()+7,"Yes","-"))</f>
        <v/>
      </c>
      <c r="B424" s="9">
        <f>Ledger!C424</f>
        <v/>
      </c>
      <c r="C424" s="9">
        <f>Ledger!D424</f>
        <v/>
      </c>
      <c r="D424" s="10">
        <f>Ledger!E424</f>
        <v/>
      </c>
      <c r="E424" s="8">
        <f>Ledger!F424</f>
        <v/>
      </c>
      <c r="F424" s="9">
        <f>Ledger!G424</f>
        <v/>
      </c>
    </row>
    <row r="425">
      <c r="A425" s="9">
        <f>IF(Ledger!I425&lt;&gt;"Open","",IF(Ledger!F425&lt;=TODAY()+7,"Yes","-"))</f>
        <v/>
      </c>
      <c r="B425" s="9">
        <f>Ledger!C425</f>
        <v/>
      </c>
      <c r="C425" s="9">
        <f>Ledger!D425</f>
        <v/>
      </c>
      <c r="D425" s="10">
        <f>Ledger!E425</f>
        <v/>
      </c>
      <c r="E425" s="8">
        <f>Ledger!F425</f>
        <v/>
      </c>
      <c r="F425" s="9">
        <f>Ledger!G425</f>
        <v/>
      </c>
    </row>
    <row r="426">
      <c r="A426" s="9">
        <f>IF(Ledger!I426&lt;&gt;"Open","",IF(Ledger!F426&lt;=TODAY()+7,"Yes","-"))</f>
        <v/>
      </c>
      <c r="B426" s="9">
        <f>Ledger!C426</f>
        <v/>
      </c>
      <c r="C426" s="9">
        <f>Ledger!D426</f>
        <v/>
      </c>
      <c r="D426" s="10">
        <f>Ledger!E426</f>
        <v/>
      </c>
      <c r="E426" s="8">
        <f>Ledger!F426</f>
        <v/>
      </c>
      <c r="F426" s="9">
        <f>Ledger!G426</f>
        <v/>
      </c>
    </row>
    <row r="427">
      <c r="A427" s="9">
        <f>IF(Ledger!I427&lt;&gt;"Open","",IF(Ledger!F427&lt;=TODAY()+7,"Yes","-"))</f>
        <v/>
      </c>
      <c r="B427" s="9">
        <f>Ledger!C427</f>
        <v/>
      </c>
      <c r="C427" s="9">
        <f>Ledger!D427</f>
        <v/>
      </c>
      <c r="D427" s="10">
        <f>Ledger!E427</f>
        <v/>
      </c>
      <c r="E427" s="8">
        <f>Ledger!F427</f>
        <v/>
      </c>
      <c r="F427" s="9">
        <f>Ledger!G427</f>
        <v/>
      </c>
    </row>
    <row r="428">
      <c r="A428" s="9">
        <f>IF(Ledger!I428&lt;&gt;"Open","",IF(Ledger!F428&lt;=TODAY()+7,"Yes","-"))</f>
        <v/>
      </c>
      <c r="B428" s="9">
        <f>Ledger!C428</f>
        <v/>
      </c>
      <c r="C428" s="9">
        <f>Ledger!D428</f>
        <v/>
      </c>
      <c r="D428" s="10">
        <f>Ledger!E428</f>
        <v/>
      </c>
      <c r="E428" s="8">
        <f>Ledger!F428</f>
        <v/>
      </c>
      <c r="F428" s="9">
        <f>Ledger!G428</f>
        <v/>
      </c>
    </row>
    <row r="429">
      <c r="A429" s="9">
        <f>IF(Ledger!I429&lt;&gt;"Open","",IF(Ledger!F429&lt;=TODAY()+7,"Yes","-"))</f>
        <v/>
      </c>
      <c r="B429" s="9">
        <f>Ledger!C429</f>
        <v/>
      </c>
      <c r="C429" s="9">
        <f>Ledger!D429</f>
        <v/>
      </c>
      <c r="D429" s="10">
        <f>Ledger!E429</f>
        <v/>
      </c>
      <c r="E429" s="8">
        <f>Ledger!F429</f>
        <v/>
      </c>
      <c r="F429" s="9">
        <f>Ledger!G429</f>
        <v/>
      </c>
    </row>
    <row r="430">
      <c r="A430" s="9">
        <f>IF(Ledger!I430&lt;&gt;"Open","",IF(Ledger!F430&lt;=TODAY()+7,"Yes","-"))</f>
        <v/>
      </c>
      <c r="B430" s="9">
        <f>Ledger!C430</f>
        <v/>
      </c>
      <c r="C430" s="9">
        <f>Ledger!D430</f>
        <v/>
      </c>
      <c r="D430" s="10">
        <f>Ledger!E430</f>
        <v/>
      </c>
      <c r="E430" s="8">
        <f>Ledger!F430</f>
        <v/>
      </c>
      <c r="F430" s="9">
        <f>Ledger!G430</f>
        <v/>
      </c>
    </row>
    <row r="431">
      <c r="A431" s="9">
        <f>IF(Ledger!I431&lt;&gt;"Open","",IF(Ledger!F431&lt;=TODAY()+7,"Yes","-"))</f>
        <v/>
      </c>
      <c r="B431" s="9">
        <f>Ledger!C431</f>
        <v/>
      </c>
      <c r="C431" s="9">
        <f>Ledger!D431</f>
        <v/>
      </c>
      <c r="D431" s="10">
        <f>Ledger!E431</f>
        <v/>
      </c>
      <c r="E431" s="8">
        <f>Ledger!F431</f>
        <v/>
      </c>
      <c r="F431" s="9">
        <f>Ledger!G431</f>
        <v/>
      </c>
    </row>
    <row r="432">
      <c r="A432" s="9">
        <f>IF(Ledger!I432&lt;&gt;"Open","",IF(Ledger!F432&lt;=TODAY()+7,"Yes","-"))</f>
        <v/>
      </c>
      <c r="B432" s="9">
        <f>Ledger!C432</f>
        <v/>
      </c>
      <c r="C432" s="9">
        <f>Ledger!D432</f>
        <v/>
      </c>
      <c r="D432" s="10">
        <f>Ledger!E432</f>
        <v/>
      </c>
      <c r="E432" s="8">
        <f>Ledger!F432</f>
        <v/>
      </c>
      <c r="F432" s="9">
        <f>Ledger!G432</f>
        <v/>
      </c>
    </row>
    <row r="433">
      <c r="A433" s="9">
        <f>IF(Ledger!I433&lt;&gt;"Open","",IF(Ledger!F433&lt;=TODAY()+7,"Yes","-"))</f>
        <v/>
      </c>
      <c r="B433" s="9">
        <f>Ledger!C433</f>
        <v/>
      </c>
      <c r="C433" s="9">
        <f>Ledger!D433</f>
        <v/>
      </c>
      <c r="D433" s="10">
        <f>Ledger!E433</f>
        <v/>
      </c>
      <c r="E433" s="8">
        <f>Ledger!F433</f>
        <v/>
      </c>
      <c r="F433" s="9">
        <f>Ledger!G433</f>
        <v/>
      </c>
    </row>
    <row r="434">
      <c r="A434" s="9">
        <f>IF(Ledger!I434&lt;&gt;"Open","",IF(Ledger!F434&lt;=TODAY()+7,"Yes","-"))</f>
        <v/>
      </c>
      <c r="B434" s="9">
        <f>Ledger!C434</f>
        <v/>
      </c>
      <c r="C434" s="9">
        <f>Ledger!D434</f>
        <v/>
      </c>
      <c r="D434" s="10">
        <f>Ledger!E434</f>
        <v/>
      </c>
      <c r="E434" s="8">
        <f>Ledger!F434</f>
        <v/>
      </c>
      <c r="F434" s="9">
        <f>Ledger!G434</f>
        <v/>
      </c>
    </row>
    <row r="435">
      <c r="A435" s="9">
        <f>IF(Ledger!I435&lt;&gt;"Open","",IF(Ledger!F435&lt;=TODAY()+7,"Yes","-"))</f>
        <v/>
      </c>
      <c r="B435" s="9">
        <f>Ledger!C435</f>
        <v/>
      </c>
      <c r="C435" s="9">
        <f>Ledger!D435</f>
        <v/>
      </c>
      <c r="D435" s="10">
        <f>Ledger!E435</f>
        <v/>
      </c>
      <c r="E435" s="8">
        <f>Ledger!F435</f>
        <v/>
      </c>
      <c r="F435" s="9">
        <f>Ledger!G435</f>
        <v/>
      </c>
    </row>
    <row r="436">
      <c r="A436" s="9">
        <f>IF(Ledger!I436&lt;&gt;"Open","",IF(Ledger!F436&lt;=TODAY()+7,"Yes","-"))</f>
        <v/>
      </c>
      <c r="B436" s="9">
        <f>Ledger!C436</f>
        <v/>
      </c>
      <c r="C436" s="9">
        <f>Ledger!D436</f>
        <v/>
      </c>
      <c r="D436" s="10">
        <f>Ledger!E436</f>
        <v/>
      </c>
      <c r="E436" s="8">
        <f>Ledger!F436</f>
        <v/>
      </c>
      <c r="F436" s="9">
        <f>Ledger!G436</f>
        <v/>
      </c>
    </row>
    <row r="437">
      <c r="A437" s="9">
        <f>IF(Ledger!I437&lt;&gt;"Open","",IF(Ledger!F437&lt;=TODAY()+7,"Yes","-"))</f>
        <v/>
      </c>
      <c r="B437" s="9">
        <f>Ledger!C437</f>
        <v/>
      </c>
      <c r="C437" s="9">
        <f>Ledger!D437</f>
        <v/>
      </c>
      <c r="D437" s="10">
        <f>Ledger!E437</f>
        <v/>
      </c>
      <c r="E437" s="8">
        <f>Ledger!F437</f>
        <v/>
      </c>
      <c r="F437" s="9">
        <f>Ledger!G437</f>
        <v/>
      </c>
    </row>
    <row r="438">
      <c r="A438" s="9">
        <f>IF(Ledger!I438&lt;&gt;"Open","",IF(Ledger!F438&lt;=TODAY()+7,"Yes","-"))</f>
        <v/>
      </c>
      <c r="B438" s="9">
        <f>Ledger!C438</f>
        <v/>
      </c>
      <c r="C438" s="9">
        <f>Ledger!D438</f>
        <v/>
      </c>
      <c r="D438" s="10">
        <f>Ledger!E438</f>
        <v/>
      </c>
      <c r="E438" s="8">
        <f>Ledger!F438</f>
        <v/>
      </c>
      <c r="F438" s="9">
        <f>Ledger!G438</f>
        <v/>
      </c>
    </row>
    <row r="439">
      <c r="A439" s="9">
        <f>IF(Ledger!I439&lt;&gt;"Open","",IF(Ledger!F439&lt;=TODAY()+7,"Yes","-"))</f>
        <v/>
      </c>
      <c r="B439" s="9">
        <f>Ledger!C439</f>
        <v/>
      </c>
      <c r="C439" s="9">
        <f>Ledger!D439</f>
        <v/>
      </c>
      <c r="D439" s="10">
        <f>Ledger!E439</f>
        <v/>
      </c>
      <c r="E439" s="8">
        <f>Ledger!F439</f>
        <v/>
      </c>
      <c r="F439" s="9">
        <f>Ledger!G439</f>
        <v/>
      </c>
    </row>
    <row r="440">
      <c r="A440" s="9">
        <f>IF(Ledger!I440&lt;&gt;"Open","",IF(Ledger!F440&lt;=TODAY()+7,"Yes","-"))</f>
        <v/>
      </c>
      <c r="B440" s="9">
        <f>Ledger!C440</f>
        <v/>
      </c>
      <c r="C440" s="9">
        <f>Ledger!D440</f>
        <v/>
      </c>
      <c r="D440" s="10">
        <f>Ledger!E440</f>
        <v/>
      </c>
      <c r="E440" s="8">
        <f>Ledger!F440</f>
        <v/>
      </c>
      <c r="F440" s="9">
        <f>Ledger!G440</f>
        <v/>
      </c>
    </row>
    <row r="441">
      <c r="A441" s="9">
        <f>IF(Ledger!I441&lt;&gt;"Open","",IF(Ledger!F441&lt;=TODAY()+7,"Yes","-"))</f>
        <v/>
      </c>
      <c r="B441" s="9">
        <f>Ledger!C441</f>
        <v/>
      </c>
      <c r="C441" s="9">
        <f>Ledger!D441</f>
        <v/>
      </c>
      <c r="D441" s="10">
        <f>Ledger!E441</f>
        <v/>
      </c>
      <c r="E441" s="8">
        <f>Ledger!F441</f>
        <v/>
      </c>
      <c r="F441" s="9">
        <f>Ledger!G441</f>
        <v/>
      </c>
    </row>
    <row r="442">
      <c r="A442" s="9">
        <f>IF(Ledger!I442&lt;&gt;"Open","",IF(Ledger!F442&lt;=TODAY()+7,"Yes","-"))</f>
        <v/>
      </c>
      <c r="B442" s="9">
        <f>Ledger!C442</f>
        <v/>
      </c>
      <c r="C442" s="9">
        <f>Ledger!D442</f>
        <v/>
      </c>
      <c r="D442" s="10">
        <f>Ledger!E442</f>
        <v/>
      </c>
      <c r="E442" s="8">
        <f>Ledger!F442</f>
        <v/>
      </c>
      <c r="F442" s="9">
        <f>Ledger!G442</f>
        <v/>
      </c>
    </row>
    <row r="443">
      <c r="A443" s="9">
        <f>IF(Ledger!I443&lt;&gt;"Open","",IF(Ledger!F443&lt;=TODAY()+7,"Yes","-"))</f>
        <v/>
      </c>
      <c r="B443" s="9">
        <f>Ledger!C443</f>
        <v/>
      </c>
      <c r="C443" s="9">
        <f>Ledger!D443</f>
        <v/>
      </c>
      <c r="D443" s="10">
        <f>Ledger!E443</f>
        <v/>
      </c>
      <c r="E443" s="8">
        <f>Ledger!F443</f>
        <v/>
      </c>
      <c r="F443" s="9">
        <f>Ledger!G443</f>
        <v/>
      </c>
    </row>
    <row r="444">
      <c r="A444" s="9">
        <f>IF(Ledger!I444&lt;&gt;"Open","",IF(Ledger!F444&lt;=TODAY()+7,"Yes","-"))</f>
        <v/>
      </c>
      <c r="B444" s="9">
        <f>Ledger!C444</f>
        <v/>
      </c>
      <c r="C444" s="9">
        <f>Ledger!D444</f>
        <v/>
      </c>
      <c r="D444" s="10">
        <f>Ledger!E444</f>
        <v/>
      </c>
      <c r="E444" s="8">
        <f>Ledger!F444</f>
        <v/>
      </c>
      <c r="F444" s="9">
        <f>Ledger!G444</f>
        <v/>
      </c>
    </row>
    <row r="445">
      <c r="A445" s="9">
        <f>IF(Ledger!I445&lt;&gt;"Open","",IF(Ledger!F445&lt;=TODAY()+7,"Yes","-"))</f>
        <v/>
      </c>
      <c r="B445" s="9">
        <f>Ledger!C445</f>
        <v/>
      </c>
      <c r="C445" s="9">
        <f>Ledger!D445</f>
        <v/>
      </c>
      <c r="D445" s="10">
        <f>Ledger!E445</f>
        <v/>
      </c>
      <c r="E445" s="8">
        <f>Ledger!F445</f>
        <v/>
      </c>
      <c r="F445" s="9">
        <f>Ledger!G445</f>
        <v/>
      </c>
    </row>
    <row r="446">
      <c r="A446" s="9">
        <f>IF(Ledger!I446&lt;&gt;"Open","",IF(Ledger!F446&lt;=TODAY()+7,"Yes","-"))</f>
        <v/>
      </c>
      <c r="B446" s="9">
        <f>Ledger!C446</f>
        <v/>
      </c>
      <c r="C446" s="9">
        <f>Ledger!D446</f>
        <v/>
      </c>
      <c r="D446" s="10">
        <f>Ledger!E446</f>
        <v/>
      </c>
      <c r="E446" s="8">
        <f>Ledger!F446</f>
        <v/>
      </c>
      <c r="F446" s="9">
        <f>Ledger!G446</f>
        <v/>
      </c>
    </row>
    <row r="447">
      <c r="A447" s="9">
        <f>IF(Ledger!I447&lt;&gt;"Open","",IF(Ledger!F447&lt;=TODAY()+7,"Yes","-"))</f>
        <v/>
      </c>
      <c r="B447" s="9">
        <f>Ledger!C447</f>
        <v/>
      </c>
      <c r="C447" s="9">
        <f>Ledger!D447</f>
        <v/>
      </c>
      <c r="D447" s="10">
        <f>Ledger!E447</f>
        <v/>
      </c>
      <c r="E447" s="8">
        <f>Ledger!F447</f>
        <v/>
      </c>
      <c r="F447" s="9">
        <f>Ledger!G447</f>
        <v/>
      </c>
    </row>
    <row r="448">
      <c r="A448" s="9">
        <f>IF(Ledger!I448&lt;&gt;"Open","",IF(Ledger!F448&lt;=TODAY()+7,"Yes","-"))</f>
        <v/>
      </c>
      <c r="B448" s="9">
        <f>Ledger!C448</f>
        <v/>
      </c>
      <c r="C448" s="9">
        <f>Ledger!D448</f>
        <v/>
      </c>
      <c r="D448" s="10">
        <f>Ledger!E448</f>
        <v/>
      </c>
      <c r="E448" s="8">
        <f>Ledger!F448</f>
        <v/>
      </c>
      <c r="F448" s="9">
        <f>Ledger!G448</f>
        <v/>
      </c>
    </row>
    <row r="449">
      <c r="A449" s="9">
        <f>IF(Ledger!I449&lt;&gt;"Open","",IF(Ledger!F449&lt;=TODAY()+7,"Yes","-"))</f>
        <v/>
      </c>
      <c r="B449" s="9">
        <f>Ledger!C449</f>
        <v/>
      </c>
      <c r="C449" s="9">
        <f>Ledger!D449</f>
        <v/>
      </c>
      <c r="D449" s="10">
        <f>Ledger!E449</f>
        <v/>
      </c>
      <c r="E449" s="8">
        <f>Ledger!F449</f>
        <v/>
      </c>
      <c r="F449" s="9">
        <f>Ledger!G449</f>
        <v/>
      </c>
    </row>
    <row r="450">
      <c r="A450" s="9">
        <f>IF(Ledger!I450&lt;&gt;"Open","",IF(Ledger!F450&lt;=TODAY()+7,"Yes","-"))</f>
        <v/>
      </c>
      <c r="B450" s="9">
        <f>Ledger!C450</f>
        <v/>
      </c>
      <c r="C450" s="9">
        <f>Ledger!D450</f>
        <v/>
      </c>
      <c r="D450" s="10">
        <f>Ledger!E450</f>
        <v/>
      </c>
      <c r="E450" s="8">
        <f>Ledger!F450</f>
        <v/>
      </c>
      <c r="F450" s="9">
        <f>Ledger!G450</f>
        <v/>
      </c>
    </row>
    <row r="451">
      <c r="A451" s="9">
        <f>IF(Ledger!I451&lt;&gt;"Open","",IF(Ledger!F451&lt;=TODAY()+7,"Yes","-"))</f>
        <v/>
      </c>
      <c r="B451" s="9">
        <f>Ledger!C451</f>
        <v/>
      </c>
      <c r="C451" s="9">
        <f>Ledger!D451</f>
        <v/>
      </c>
      <c r="D451" s="10">
        <f>Ledger!E451</f>
        <v/>
      </c>
      <c r="E451" s="8">
        <f>Ledger!F451</f>
        <v/>
      </c>
      <c r="F451" s="9">
        <f>Ledger!G451</f>
        <v/>
      </c>
    </row>
    <row r="452">
      <c r="A452" s="9">
        <f>IF(Ledger!I452&lt;&gt;"Open","",IF(Ledger!F452&lt;=TODAY()+7,"Yes","-"))</f>
        <v/>
      </c>
      <c r="B452" s="9">
        <f>Ledger!C452</f>
        <v/>
      </c>
      <c r="C452" s="9">
        <f>Ledger!D452</f>
        <v/>
      </c>
      <c r="D452" s="10">
        <f>Ledger!E452</f>
        <v/>
      </c>
      <c r="E452" s="8">
        <f>Ledger!F452</f>
        <v/>
      </c>
      <c r="F452" s="9">
        <f>Ledger!G452</f>
        <v/>
      </c>
    </row>
    <row r="453">
      <c r="A453" s="9">
        <f>IF(Ledger!I453&lt;&gt;"Open","",IF(Ledger!F453&lt;=TODAY()+7,"Yes","-"))</f>
        <v/>
      </c>
      <c r="B453" s="9">
        <f>Ledger!C453</f>
        <v/>
      </c>
      <c r="C453" s="9">
        <f>Ledger!D453</f>
        <v/>
      </c>
      <c r="D453" s="10">
        <f>Ledger!E453</f>
        <v/>
      </c>
      <c r="E453" s="8">
        <f>Ledger!F453</f>
        <v/>
      </c>
      <c r="F453" s="9">
        <f>Ledger!G453</f>
        <v/>
      </c>
    </row>
    <row r="454">
      <c r="A454" s="9">
        <f>IF(Ledger!I454&lt;&gt;"Open","",IF(Ledger!F454&lt;=TODAY()+7,"Yes","-"))</f>
        <v/>
      </c>
      <c r="B454" s="9">
        <f>Ledger!C454</f>
        <v/>
      </c>
      <c r="C454" s="9">
        <f>Ledger!D454</f>
        <v/>
      </c>
      <c r="D454" s="10">
        <f>Ledger!E454</f>
        <v/>
      </c>
      <c r="E454" s="8">
        <f>Ledger!F454</f>
        <v/>
      </c>
      <c r="F454" s="9">
        <f>Ledger!G454</f>
        <v/>
      </c>
    </row>
    <row r="455">
      <c r="A455" s="9">
        <f>IF(Ledger!I455&lt;&gt;"Open","",IF(Ledger!F455&lt;=TODAY()+7,"Yes","-"))</f>
        <v/>
      </c>
      <c r="B455" s="9">
        <f>Ledger!C455</f>
        <v/>
      </c>
      <c r="C455" s="9">
        <f>Ledger!D455</f>
        <v/>
      </c>
      <c r="D455" s="10">
        <f>Ledger!E455</f>
        <v/>
      </c>
      <c r="E455" s="8">
        <f>Ledger!F455</f>
        <v/>
      </c>
      <c r="F455" s="9">
        <f>Ledger!G455</f>
        <v/>
      </c>
    </row>
    <row r="456">
      <c r="A456" s="9">
        <f>IF(Ledger!I456&lt;&gt;"Open","",IF(Ledger!F456&lt;=TODAY()+7,"Yes","-"))</f>
        <v/>
      </c>
      <c r="B456" s="9">
        <f>Ledger!C456</f>
        <v/>
      </c>
      <c r="C456" s="9">
        <f>Ledger!D456</f>
        <v/>
      </c>
      <c r="D456" s="10">
        <f>Ledger!E456</f>
        <v/>
      </c>
      <c r="E456" s="8">
        <f>Ledger!F456</f>
        <v/>
      </c>
      <c r="F456" s="9">
        <f>Ledger!G456</f>
        <v/>
      </c>
    </row>
    <row r="457">
      <c r="A457" s="9">
        <f>IF(Ledger!I457&lt;&gt;"Open","",IF(Ledger!F457&lt;=TODAY()+7,"Yes","-"))</f>
        <v/>
      </c>
      <c r="B457" s="9">
        <f>Ledger!C457</f>
        <v/>
      </c>
      <c r="C457" s="9">
        <f>Ledger!D457</f>
        <v/>
      </c>
      <c r="D457" s="10">
        <f>Ledger!E457</f>
        <v/>
      </c>
      <c r="E457" s="8">
        <f>Ledger!F457</f>
        <v/>
      </c>
      <c r="F457" s="9">
        <f>Ledger!G457</f>
        <v/>
      </c>
    </row>
    <row r="458">
      <c r="A458" s="9">
        <f>IF(Ledger!I458&lt;&gt;"Open","",IF(Ledger!F458&lt;=TODAY()+7,"Yes","-"))</f>
        <v/>
      </c>
      <c r="B458" s="9">
        <f>Ledger!C458</f>
        <v/>
      </c>
      <c r="C458" s="9">
        <f>Ledger!D458</f>
        <v/>
      </c>
      <c r="D458" s="10">
        <f>Ledger!E458</f>
        <v/>
      </c>
      <c r="E458" s="8">
        <f>Ledger!F458</f>
        <v/>
      </c>
      <c r="F458" s="9">
        <f>Ledger!G458</f>
        <v/>
      </c>
    </row>
    <row r="459">
      <c r="A459" s="9">
        <f>IF(Ledger!I459&lt;&gt;"Open","",IF(Ledger!F459&lt;=TODAY()+7,"Yes","-"))</f>
        <v/>
      </c>
      <c r="B459" s="9">
        <f>Ledger!C459</f>
        <v/>
      </c>
      <c r="C459" s="9">
        <f>Ledger!D459</f>
        <v/>
      </c>
      <c r="D459" s="10">
        <f>Ledger!E459</f>
        <v/>
      </c>
      <c r="E459" s="8">
        <f>Ledger!F459</f>
        <v/>
      </c>
      <c r="F459" s="9">
        <f>Ledger!G459</f>
        <v/>
      </c>
    </row>
    <row r="460">
      <c r="A460" s="9">
        <f>IF(Ledger!I460&lt;&gt;"Open","",IF(Ledger!F460&lt;=TODAY()+7,"Yes","-"))</f>
        <v/>
      </c>
      <c r="B460" s="9">
        <f>Ledger!C460</f>
        <v/>
      </c>
      <c r="C460" s="9">
        <f>Ledger!D460</f>
        <v/>
      </c>
      <c r="D460" s="10">
        <f>Ledger!E460</f>
        <v/>
      </c>
      <c r="E460" s="8">
        <f>Ledger!F460</f>
        <v/>
      </c>
      <c r="F460" s="9">
        <f>Ledger!G460</f>
        <v/>
      </c>
    </row>
    <row r="461">
      <c r="A461" s="9">
        <f>IF(Ledger!I461&lt;&gt;"Open","",IF(Ledger!F461&lt;=TODAY()+7,"Yes","-"))</f>
        <v/>
      </c>
      <c r="B461" s="9">
        <f>Ledger!C461</f>
        <v/>
      </c>
      <c r="C461" s="9">
        <f>Ledger!D461</f>
        <v/>
      </c>
      <c r="D461" s="10">
        <f>Ledger!E461</f>
        <v/>
      </c>
      <c r="E461" s="8">
        <f>Ledger!F461</f>
        <v/>
      </c>
      <c r="F461" s="9">
        <f>Ledger!G461</f>
        <v/>
      </c>
    </row>
    <row r="462">
      <c r="A462" s="9">
        <f>IF(Ledger!I462&lt;&gt;"Open","",IF(Ledger!F462&lt;=TODAY()+7,"Yes","-"))</f>
        <v/>
      </c>
      <c r="B462" s="9">
        <f>Ledger!C462</f>
        <v/>
      </c>
      <c r="C462" s="9">
        <f>Ledger!D462</f>
        <v/>
      </c>
      <c r="D462" s="10">
        <f>Ledger!E462</f>
        <v/>
      </c>
      <c r="E462" s="8">
        <f>Ledger!F462</f>
        <v/>
      </c>
      <c r="F462" s="9">
        <f>Ledger!G462</f>
        <v/>
      </c>
    </row>
    <row r="463">
      <c r="A463" s="9">
        <f>IF(Ledger!I463&lt;&gt;"Open","",IF(Ledger!F463&lt;=TODAY()+7,"Yes","-"))</f>
        <v/>
      </c>
      <c r="B463" s="9">
        <f>Ledger!C463</f>
        <v/>
      </c>
      <c r="C463" s="9">
        <f>Ledger!D463</f>
        <v/>
      </c>
      <c r="D463" s="10">
        <f>Ledger!E463</f>
        <v/>
      </c>
      <c r="E463" s="8">
        <f>Ledger!F463</f>
        <v/>
      </c>
      <c r="F463" s="9">
        <f>Ledger!G463</f>
        <v/>
      </c>
    </row>
    <row r="464">
      <c r="A464" s="9">
        <f>IF(Ledger!I464&lt;&gt;"Open","",IF(Ledger!F464&lt;=TODAY()+7,"Yes","-"))</f>
        <v/>
      </c>
      <c r="B464" s="9">
        <f>Ledger!C464</f>
        <v/>
      </c>
      <c r="C464" s="9">
        <f>Ledger!D464</f>
        <v/>
      </c>
      <c r="D464" s="10">
        <f>Ledger!E464</f>
        <v/>
      </c>
      <c r="E464" s="8">
        <f>Ledger!F464</f>
        <v/>
      </c>
      <c r="F464" s="9">
        <f>Ledger!G464</f>
        <v/>
      </c>
    </row>
    <row r="465">
      <c r="A465" s="9">
        <f>IF(Ledger!I465&lt;&gt;"Open","",IF(Ledger!F465&lt;=TODAY()+7,"Yes","-"))</f>
        <v/>
      </c>
      <c r="B465" s="9">
        <f>Ledger!C465</f>
        <v/>
      </c>
      <c r="C465" s="9">
        <f>Ledger!D465</f>
        <v/>
      </c>
      <c r="D465" s="10">
        <f>Ledger!E465</f>
        <v/>
      </c>
      <c r="E465" s="8">
        <f>Ledger!F465</f>
        <v/>
      </c>
      <c r="F465" s="9">
        <f>Ledger!G465</f>
        <v/>
      </c>
    </row>
    <row r="466">
      <c r="A466" s="9">
        <f>IF(Ledger!I466&lt;&gt;"Open","",IF(Ledger!F466&lt;=TODAY()+7,"Yes","-"))</f>
        <v/>
      </c>
      <c r="B466" s="9">
        <f>Ledger!C466</f>
        <v/>
      </c>
      <c r="C466" s="9">
        <f>Ledger!D466</f>
        <v/>
      </c>
      <c r="D466" s="10">
        <f>Ledger!E466</f>
        <v/>
      </c>
      <c r="E466" s="8">
        <f>Ledger!F466</f>
        <v/>
      </c>
      <c r="F466" s="9">
        <f>Ledger!G466</f>
        <v/>
      </c>
    </row>
    <row r="467">
      <c r="A467" s="9">
        <f>IF(Ledger!I467&lt;&gt;"Open","",IF(Ledger!F467&lt;=TODAY()+7,"Yes","-"))</f>
        <v/>
      </c>
      <c r="B467" s="9">
        <f>Ledger!C467</f>
        <v/>
      </c>
      <c r="C467" s="9">
        <f>Ledger!D467</f>
        <v/>
      </c>
      <c r="D467" s="10">
        <f>Ledger!E467</f>
        <v/>
      </c>
      <c r="E467" s="8">
        <f>Ledger!F467</f>
        <v/>
      </c>
      <c r="F467" s="9">
        <f>Ledger!G467</f>
        <v/>
      </c>
    </row>
    <row r="468">
      <c r="A468" s="9">
        <f>IF(Ledger!I468&lt;&gt;"Open","",IF(Ledger!F468&lt;=TODAY()+7,"Yes","-"))</f>
        <v/>
      </c>
      <c r="B468" s="9">
        <f>Ledger!C468</f>
        <v/>
      </c>
      <c r="C468" s="9">
        <f>Ledger!D468</f>
        <v/>
      </c>
      <c r="D468" s="10">
        <f>Ledger!E468</f>
        <v/>
      </c>
      <c r="E468" s="8">
        <f>Ledger!F468</f>
        <v/>
      </c>
      <c r="F468" s="9">
        <f>Ledger!G468</f>
        <v/>
      </c>
    </row>
    <row r="469">
      <c r="A469" s="9">
        <f>IF(Ledger!I469&lt;&gt;"Open","",IF(Ledger!F469&lt;=TODAY()+7,"Yes","-"))</f>
        <v/>
      </c>
      <c r="B469" s="9">
        <f>Ledger!C469</f>
        <v/>
      </c>
      <c r="C469" s="9">
        <f>Ledger!D469</f>
        <v/>
      </c>
      <c r="D469" s="10">
        <f>Ledger!E469</f>
        <v/>
      </c>
      <c r="E469" s="8">
        <f>Ledger!F469</f>
        <v/>
      </c>
      <c r="F469" s="9">
        <f>Ledger!G469</f>
        <v/>
      </c>
    </row>
    <row r="470">
      <c r="A470" s="9">
        <f>IF(Ledger!I470&lt;&gt;"Open","",IF(Ledger!F470&lt;=TODAY()+7,"Yes","-"))</f>
        <v/>
      </c>
      <c r="B470" s="9">
        <f>Ledger!C470</f>
        <v/>
      </c>
      <c r="C470" s="9">
        <f>Ledger!D470</f>
        <v/>
      </c>
      <c r="D470" s="10">
        <f>Ledger!E470</f>
        <v/>
      </c>
      <c r="E470" s="8">
        <f>Ledger!F470</f>
        <v/>
      </c>
      <c r="F470" s="9">
        <f>Ledger!G470</f>
        <v/>
      </c>
    </row>
    <row r="471">
      <c r="A471" s="9">
        <f>IF(Ledger!I471&lt;&gt;"Open","",IF(Ledger!F471&lt;=TODAY()+7,"Yes","-"))</f>
        <v/>
      </c>
      <c r="B471" s="9">
        <f>Ledger!C471</f>
        <v/>
      </c>
      <c r="C471" s="9">
        <f>Ledger!D471</f>
        <v/>
      </c>
      <c r="D471" s="10">
        <f>Ledger!E471</f>
        <v/>
      </c>
      <c r="E471" s="8">
        <f>Ledger!F471</f>
        <v/>
      </c>
      <c r="F471" s="9">
        <f>Ledger!G471</f>
        <v/>
      </c>
    </row>
    <row r="472">
      <c r="A472" s="9">
        <f>IF(Ledger!I472&lt;&gt;"Open","",IF(Ledger!F472&lt;=TODAY()+7,"Yes","-"))</f>
        <v/>
      </c>
      <c r="B472" s="9">
        <f>Ledger!C472</f>
        <v/>
      </c>
      <c r="C472" s="9">
        <f>Ledger!D472</f>
        <v/>
      </c>
      <c r="D472" s="10">
        <f>Ledger!E472</f>
        <v/>
      </c>
      <c r="E472" s="8">
        <f>Ledger!F472</f>
        <v/>
      </c>
      <c r="F472" s="9">
        <f>Ledger!G472</f>
        <v/>
      </c>
    </row>
    <row r="473">
      <c r="A473" s="9">
        <f>IF(Ledger!I473&lt;&gt;"Open","",IF(Ledger!F473&lt;=TODAY()+7,"Yes","-"))</f>
        <v/>
      </c>
      <c r="B473" s="9">
        <f>Ledger!C473</f>
        <v/>
      </c>
      <c r="C473" s="9">
        <f>Ledger!D473</f>
        <v/>
      </c>
      <c r="D473" s="10">
        <f>Ledger!E473</f>
        <v/>
      </c>
      <c r="E473" s="8">
        <f>Ledger!F473</f>
        <v/>
      </c>
      <c r="F473" s="9">
        <f>Ledger!G473</f>
        <v/>
      </c>
    </row>
    <row r="474">
      <c r="A474" s="9">
        <f>IF(Ledger!I474&lt;&gt;"Open","",IF(Ledger!F474&lt;=TODAY()+7,"Yes","-"))</f>
        <v/>
      </c>
      <c r="B474" s="9">
        <f>Ledger!C474</f>
        <v/>
      </c>
      <c r="C474" s="9">
        <f>Ledger!D474</f>
        <v/>
      </c>
      <c r="D474" s="10">
        <f>Ledger!E474</f>
        <v/>
      </c>
      <c r="E474" s="8">
        <f>Ledger!F474</f>
        <v/>
      </c>
      <c r="F474" s="9">
        <f>Ledger!G474</f>
        <v/>
      </c>
    </row>
    <row r="475">
      <c r="A475" s="9">
        <f>IF(Ledger!I475&lt;&gt;"Open","",IF(Ledger!F475&lt;=TODAY()+7,"Yes","-"))</f>
        <v/>
      </c>
      <c r="B475" s="9">
        <f>Ledger!C475</f>
        <v/>
      </c>
      <c r="C475" s="9">
        <f>Ledger!D475</f>
        <v/>
      </c>
      <c r="D475" s="10">
        <f>Ledger!E475</f>
        <v/>
      </c>
      <c r="E475" s="8">
        <f>Ledger!F475</f>
        <v/>
      </c>
      <c r="F475" s="9">
        <f>Ledger!G475</f>
        <v/>
      </c>
    </row>
    <row r="476">
      <c r="A476" s="9">
        <f>IF(Ledger!I476&lt;&gt;"Open","",IF(Ledger!F476&lt;=TODAY()+7,"Yes","-"))</f>
        <v/>
      </c>
      <c r="B476" s="9">
        <f>Ledger!C476</f>
        <v/>
      </c>
      <c r="C476" s="9">
        <f>Ledger!D476</f>
        <v/>
      </c>
      <c r="D476" s="10">
        <f>Ledger!E476</f>
        <v/>
      </c>
      <c r="E476" s="8">
        <f>Ledger!F476</f>
        <v/>
      </c>
      <c r="F476" s="9">
        <f>Ledger!G476</f>
        <v/>
      </c>
    </row>
    <row r="477">
      <c r="A477" s="9">
        <f>IF(Ledger!I477&lt;&gt;"Open","",IF(Ledger!F477&lt;=TODAY()+7,"Yes","-"))</f>
        <v/>
      </c>
      <c r="B477" s="9">
        <f>Ledger!C477</f>
        <v/>
      </c>
      <c r="C477" s="9">
        <f>Ledger!D477</f>
        <v/>
      </c>
      <c r="D477" s="10">
        <f>Ledger!E477</f>
        <v/>
      </c>
      <c r="E477" s="8">
        <f>Ledger!F477</f>
        <v/>
      </c>
      <c r="F477" s="9">
        <f>Ledger!G477</f>
        <v/>
      </c>
    </row>
    <row r="478">
      <c r="A478" s="9">
        <f>IF(Ledger!I478&lt;&gt;"Open","",IF(Ledger!F478&lt;=TODAY()+7,"Yes","-"))</f>
        <v/>
      </c>
      <c r="B478" s="9">
        <f>Ledger!C478</f>
        <v/>
      </c>
      <c r="C478" s="9">
        <f>Ledger!D478</f>
        <v/>
      </c>
      <c r="D478" s="10">
        <f>Ledger!E478</f>
        <v/>
      </c>
      <c r="E478" s="8">
        <f>Ledger!F478</f>
        <v/>
      </c>
      <c r="F478" s="9">
        <f>Ledger!G478</f>
        <v/>
      </c>
    </row>
    <row r="479">
      <c r="A479" s="9">
        <f>IF(Ledger!I479&lt;&gt;"Open","",IF(Ledger!F479&lt;=TODAY()+7,"Yes","-"))</f>
        <v/>
      </c>
      <c r="B479" s="9">
        <f>Ledger!C479</f>
        <v/>
      </c>
      <c r="C479" s="9">
        <f>Ledger!D479</f>
        <v/>
      </c>
      <c r="D479" s="10">
        <f>Ledger!E479</f>
        <v/>
      </c>
      <c r="E479" s="8">
        <f>Ledger!F479</f>
        <v/>
      </c>
      <c r="F479" s="9">
        <f>Ledger!G479</f>
        <v/>
      </c>
    </row>
    <row r="480">
      <c r="A480" s="9">
        <f>IF(Ledger!I480&lt;&gt;"Open","",IF(Ledger!F480&lt;=TODAY()+7,"Yes","-"))</f>
        <v/>
      </c>
      <c r="B480" s="9">
        <f>Ledger!C480</f>
        <v/>
      </c>
      <c r="C480" s="9">
        <f>Ledger!D480</f>
        <v/>
      </c>
      <c r="D480" s="10">
        <f>Ledger!E480</f>
        <v/>
      </c>
      <c r="E480" s="8">
        <f>Ledger!F480</f>
        <v/>
      </c>
      <c r="F480" s="9">
        <f>Ledger!G480</f>
        <v/>
      </c>
    </row>
    <row r="481">
      <c r="A481" s="9">
        <f>IF(Ledger!I481&lt;&gt;"Open","",IF(Ledger!F481&lt;=TODAY()+7,"Yes","-"))</f>
        <v/>
      </c>
      <c r="B481" s="9">
        <f>Ledger!C481</f>
        <v/>
      </c>
      <c r="C481" s="9">
        <f>Ledger!D481</f>
        <v/>
      </c>
      <c r="D481" s="10">
        <f>Ledger!E481</f>
        <v/>
      </c>
      <c r="E481" s="8">
        <f>Ledger!F481</f>
        <v/>
      </c>
      <c r="F481" s="9">
        <f>Ledger!G481</f>
        <v/>
      </c>
    </row>
    <row r="482">
      <c r="A482" s="9">
        <f>IF(Ledger!I482&lt;&gt;"Open","",IF(Ledger!F482&lt;=TODAY()+7,"Yes","-"))</f>
        <v/>
      </c>
      <c r="B482" s="9">
        <f>Ledger!C482</f>
        <v/>
      </c>
      <c r="C482" s="9">
        <f>Ledger!D482</f>
        <v/>
      </c>
      <c r="D482" s="10">
        <f>Ledger!E482</f>
        <v/>
      </c>
      <c r="E482" s="8">
        <f>Ledger!F482</f>
        <v/>
      </c>
      <c r="F482" s="9">
        <f>Ledger!G482</f>
        <v/>
      </c>
    </row>
    <row r="483">
      <c r="A483" s="9">
        <f>IF(Ledger!I483&lt;&gt;"Open","",IF(Ledger!F483&lt;=TODAY()+7,"Yes","-"))</f>
        <v/>
      </c>
      <c r="B483" s="9">
        <f>Ledger!C483</f>
        <v/>
      </c>
      <c r="C483" s="9">
        <f>Ledger!D483</f>
        <v/>
      </c>
      <c r="D483" s="10">
        <f>Ledger!E483</f>
        <v/>
      </c>
      <c r="E483" s="8">
        <f>Ledger!F483</f>
        <v/>
      </c>
      <c r="F483" s="9">
        <f>Ledger!G483</f>
        <v/>
      </c>
    </row>
    <row r="484">
      <c r="A484" s="9">
        <f>IF(Ledger!I484&lt;&gt;"Open","",IF(Ledger!F484&lt;=TODAY()+7,"Yes","-"))</f>
        <v/>
      </c>
      <c r="B484" s="9">
        <f>Ledger!C484</f>
        <v/>
      </c>
      <c r="C484" s="9">
        <f>Ledger!D484</f>
        <v/>
      </c>
      <c r="D484" s="10">
        <f>Ledger!E484</f>
        <v/>
      </c>
      <c r="E484" s="8">
        <f>Ledger!F484</f>
        <v/>
      </c>
      <c r="F484" s="9">
        <f>Ledger!G484</f>
        <v/>
      </c>
    </row>
    <row r="485">
      <c r="A485" s="9">
        <f>IF(Ledger!I485&lt;&gt;"Open","",IF(Ledger!F485&lt;=TODAY()+7,"Yes","-"))</f>
        <v/>
      </c>
      <c r="B485" s="9">
        <f>Ledger!C485</f>
        <v/>
      </c>
      <c r="C485" s="9">
        <f>Ledger!D485</f>
        <v/>
      </c>
      <c r="D485" s="10">
        <f>Ledger!E485</f>
        <v/>
      </c>
      <c r="E485" s="8">
        <f>Ledger!F485</f>
        <v/>
      </c>
      <c r="F485" s="9">
        <f>Ledger!G485</f>
        <v/>
      </c>
    </row>
    <row r="486">
      <c r="A486" s="9">
        <f>IF(Ledger!I486&lt;&gt;"Open","",IF(Ledger!F486&lt;=TODAY()+7,"Yes","-"))</f>
        <v/>
      </c>
      <c r="B486" s="9">
        <f>Ledger!C486</f>
        <v/>
      </c>
      <c r="C486" s="9">
        <f>Ledger!D486</f>
        <v/>
      </c>
      <c r="D486" s="10">
        <f>Ledger!E486</f>
        <v/>
      </c>
      <c r="E486" s="8">
        <f>Ledger!F486</f>
        <v/>
      </c>
      <c r="F486" s="9">
        <f>Ledger!G486</f>
        <v/>
      </c>
    </row>
    <row r="487">
      <c r="A487" s="9">
        <f>IF(Ledger!I487&lt;&gt;"Open","",IF(Ledger!F487&lt;=TODAY()+7,"Yes","-"))</f>
        <v/>
      </c>
      <c r="B487" s="9">
        <f>Ledger!C487</f>
        <v/>
      </c>
      <c r="C487" s="9">
        <f>Ledger!D487</f>
        <v/>
      </c>
      <c r="D487" s="10">
        <f>Ledger!E487</f>
        <v/>
      </c>
      <c r="E487" s="8">
        <f>Ledger!F487</f>
        <v/>
      </c>
      <c r="F487" s="9">
        <f>Ledger!G487</f>
        <v/>
      </c>
    </row>
    <row r="488">
      <c r="A488" s="9">
        <f>IF(Ledger!I488&lt;&gt;"Open","",IF(Ledger!F488&lt;=TODAY()+7,"Yes","-"))</f>
        <v/>
      </c>
      <c r="B488" s="9">
        <f>Ledger!C488</f>
        <v/>
      </c>
      <c r="C488" s="9">
        <f>Ledger!D488</f>
        <v/>
      </c>
      <c r="D488" s="10">
        <f>Ledger!E488</f>
        <v/>
      </c>
      <c r="E488" s="8">
        <f>Ledger!F488</f>
        <v/>
      </c>
      <c r="F488" s="9">
        <f>Ledger!G488</f>
        <v/>
      </c>
    </row>
    <row r="489">
      <c r="A489" s="9">
        <f>IF(Ledger!I489&lt;&gt;"Open","",IF(Ledger!F489&lt;=TODAY()+7,"Yes","-"))</f>
        <v/>
      </c>
      <c r="B489" s="9">
        <f>Ledger!C489</f>
        <v/>
      </c>
      <c r="C489" s="9">
        <f>Ledger!D489</f>
        <v/>
      </c>
      <c r="D489" s="10">
        <f>Ledger!E489</f>
        <v/>
      </c>
      <c r="E489" s="8">
        <f>Ledger!F489</f>
        <v/>
      </c>
      <c r="F489" s="9">
        <f>Ledger!G489</f>
        <v/>
      </c>
    </row>
    <row r="490">
      <c r="A490" s="9">
        <f>IF(Ledger!I490&lt;&gt;"Open","",IF(Ledger!F490&lt;=TODAY()+7,"Yes","-"))</f>
        <v/>
      </c>
      <c r="B490" s="9">
        <f>Ledger!C490</f>
        <v/>
      </c>
      <c r="C490" s="9">
        <f>Ledger!D490</f>
        <v/>
      </c>
      <c r="D490" s="10">
        <f>Ledger!E490</f>
        <v/>
      </c>
      <c r="E490" s="8">
        <f>Ledger!F490</f>
        <v/>
      </c>
      <c r="F490" s="9">
        <f>Ledger!G490</f>
        <v/>
      </c>
    </row>
    <row r="491">
      <c r="A491" s="9">
        <f>IF(Ledger!I491&lt;&gt;"Open","",IF(Ledger!F491&lt;=TODAY()+7,"Yes","-"))</f>
        <v/>
      </c>
      <c r="B491" s="9">
        <f>Ledger!C491</f>
        <v/>
      </c>
      <c r="C491" s="9">
        <f>Ledger!D491</f>
        <v/>
      </c>
      <c r="D491" s="10">
        <f>Ledger!E491</f>
        <v/>
      </c>
      <c r="E491" s="8">
        <f>Ledger!F491</f>
        <v/>
      </c>
      <c r="F491" s="9">
        <f>Ledger!G491</f>
        <v/>
      </c>
    </row>
    <row r="492">
      <c r="A492" s="9">
        <f>IF(Ledger!I492&lt;&gt;"Open","",IF(Ledger!F492&lt;=TODAY()+7,"Yes","-"))</f>
        <v/>
      </c>
      <c r="B492" s="9">
        <f>Ledger!C492</f>
        <v/>
      </c>
      <c r="C492" s="9">
        <f>Ledger!D492</f>
        <v/>
      </c>
      <c r="D492" s="10">
        <f>Ledger!E492</f>
        <v/>
      </c>
      <c r="E492" s="8">
        <f>Ledger!F492</f>
        <v/>
      </c>
      <c r="F492" s="9">
        <f>Ledger!G492</f>
        <v/>
      </c>
    </row>
    <row r="493">
      <c r="A493" s="9">
        <f>IF(Ledger!I493&lt;&gt;"Open","",IF(Ledger!F493&lt;=TODAY()+7,"Yes","-"))</f>
        <v/>
      </c>
      <c r="B493" s="9">
        <f>Ledger!C493</f>
        <v/>
      </c>
      <c r="C493" s="9">
        <f>Ledger!D493</f>
        <v/>
      </c>
      <c r="D493" s="10">
        <f>Ledger!E493</f>
        <v/>
      </c>
      <c r="E493" s="8">
        <f>Ledger!F493</f>
        <v/>
      </c>
      <c r="F493" s="9">
        <f>Ledger!G493</f>
        <v/>
      </c>
    </row>
    <row r="494">
      <c r="A494" s="9">
        <f>IF(Ledger!I494&lt;&gt;"Open","",IF(Ledger!F494&lt;=TODAY()+7,"Yes","-"))</f>
        <v/>
      </c>
      <c r="B494" s="9">
        <f>Ledger!C494</f>
        <v/>
      </c>
      <c r="C494" s="9">
        <f>Ledger!D494</f>
        <v/>
      </c>
      <c r="D494" s="10">
        <f>Ledger!E494</f>
        <v/>
      </c>
      <c r="E494" s="8">
        <f>Ledger!F494</f>
        <v/>
      </c>
      <c r="F494" s="9">
        <f>Ledger!G494</f>
        <v/>
      </c>
    </row>
    <row r="495">
      <c r="A495" s="9">
        <f>IF(Ledger!I495&lt;&gt;"Open","",IF(Ledger!F495&lt;=TODAY()+7,"Yes","-"))</f>
        <v/>
      </c>
      <c r="B495" s="9">
        <f>Ledger!C495</f>
        <v/>
      </c>
      <c r="C495" s="9">
        <f>Ledger!D495</f>
        <v/>
      </c>
      <c r="D495" s="10">
        <f>Ledger!E495</f>
        <v/>
      </c>
      <c r="E495" s="8">
        <f>Ledger!F495</f>
        <v/>
      </c>
      <c r="F495" s="9">
        <f>Ledger!G495</f>
        <v/>
      </c>
    </row>
    <row r="496">
      <c r="A496" s="9">
        <f>IF(Ledger!I496&lt;&gt;"Open","",IF(Ledger!F496&lt;=TODAY()+7,"Yes","-"))</f>
        <v/>
      </c>
      <c r="B496" s="9">
        <f>Ledger!C496</f>
        <v/>
      </c>
      <c r="C496" s="9">
        <f>Ledger!D496</f>
        <v/>
      </c>
      <c r="D496" s="10">
        <f>Ledger!E496</f>
        <v/>
      </c>
      <c r="E496" s="8">
        <f>Ledger!F496</f>
        <v/>
      </c>
      <c r="F496" s="9">
        <f>Ledger!G496</f>
        <v/>
      </c>
    </row>
    <row r="497">
      <c r="A497" s="9">
        <f>IF(Ledger!I497&lt;&gt;"Open","",IF(Ledger!F497&lt;=TODAY()+7,"Yes","-"))</f>
        <v/>
      </c>
      <c r="B497" s="9">
        <f>Ledger!C497</f>
        <v/>
      </c>
      <c r="C497" s="9">
        <f>Ledger!D497</f>
        <v/>
      </c>
      <c r="D497" s="10">
        <f>Ledger!E497</f>
        <v/>
      </c>
      <c r="E497" s="8">
        <f>Ledger!F497</f>
        <v/>
      </c>
      <c r="F497" s="9">
        <f>Ledger!G497</f>
        <v/>
      </c>
    </row>
    <row r="498">
      <c r="A498" s="9">
        <f>IF(Ledger!I498&lt;&gt;"Open","",IF(Ledger!F498&lt;=TODAY()+7,"Yes","-"))</f>
        <v/>
      </c>
      <c r="B498" s="9">
        <f>Ledger!C498</f>
        <v/>
      </c>
      <c r="C498" s="9">
        <f>Ledger!D498</f>
        <v/>
      </c>
      <c r="D498" s="10">
        <f>Ledger!E498</f>
        <v/>
      </c>
      <c r="E498" s="8">
        <f>Ledger!F498</f>
        <v/>
      </c>
      <c r="F498" s="9">
        <f>Ledger!G498</f>
        <v/>
      </c>
    </row>
    <row r="499">
      <c r="A499" s="9">
        <f>IF(Ledger!I499&lt;&gt;"Open","",IF(Ledger!F499&lt;=TODAY()+7,"Yes","-"))</f>
        <v/>
      </c>
      <c r="B499" s="9">
        <f>Ledger!C499</f>
        <v/>
      </c>
      <c r="C499" s="9">
        <f>Ledger!D499</f>
        <v/>
      </c>
      <c r="D499" s="10">
        <f>Ledger!E499</f>
        <v/>
      </c>
      <c r="E499" s="8">
        <f>Ledger!F499</f>
        <v/>
      </c>
      <c r="F499" s="9">
        <f>Ledger!G499</f>
        <v/>
      </c>
    </row>
    <row r="500">
      <c r="A500" s="9">
        <f>IF(Ledger!I500&lt;&gt;"Open","",IF(Ledger!F500&lt;=TODAY()+7,"Yes","-"))</f>
        <v/>
      </c>
      <c r="B500" s="9">
        <f>Ledger!C500</f>
        <v/>
      </c>
      <c r="C500" s="9">
        <f>Ledger!D500</f>
        <v/>
      </c>
      <c r="D500" s="10">
        <f>Ledger!E500</f>
        <v/>
      </c>
      <c r="E500" s="8">
        <f>Ledger!F500</f>
        <v/>
      </c>
      <c r="F500" s="9">
        <f>Ledger!G500</f>
        <v/>
      </c>
    </row>
    <row r="501">
      <c r="A501" s="9">
        <f>IF(Ledger!I501&lt;&gt;"Open","",IF(Ledger!F501&lt;=TODAY()+7,"Yes","-"))</f>
        <v/>
      </c>
      <c r="B501" s="9">
        <f>Ledger!C501</f>
        <v/>
      </c>
      <c r="C501" s="9">
        <f>Ledger!D501</f>
        <v/>
      </c>
      <c r="D501" s="10">
        <f>Ledger!E501</f>
        <v/>
      </c>
      <c r="E501" s="8">
        <f>Ledger!F501</f>
        <v/>
      </c>
      <c r="F501" s="9">
        <f>Ledger!G501</f>
        <v/>
      </c>
    </row>
    <row r="502">
      <c r="A502" s="9">
        <f>IF(Ledger!I502&lt;&gt;"Open","",IF(Ledger!F502&lt;=TODAY()+7,"Yes","-"))</f>
        <v/>
      </c>
      <c r="B502" s="9">
        <f>Ledger!C502</f>
        <v/>
      </c>
      <c r="C502" s="9">
        <f>Ledger!D502</f>
        <v/>
      </c>
      <c r="D502" s="10">
        <f>Ledger!E502</f>
        <v/>
      </c>
      <c r="E502" s="8">
        <f>Ledger!F502</f>
        <v/>
      </c>
      <c r="F502" s="9">
        <f>Ledger!G502</f>
        <v/>
      </c>
    </row>
    <row r="503">
      <c r="A503" s="9">
        <f>IF(Ledger!I503&lt;&gt;"Open","",IF(Ledger!F503&lt;=TODAY()+7,"Yes","-"))</f>
        <v/>
      </c>
      <c r="B503" s="9">
        <f>Ledger!C503</f>
        <v/>
      </c>
      <c r="C503" s="9">
        <f>Ledger!D503</f>
        <v/>
      </c>
      <c r="D503" s="10">
        <f>Ledger!E503</f>
        <v/>
      </c>
      <c r="E503" s="8">
        <f>Ledger!F503</f>
        <v/>
      </c>
      <c r="F503" s="9">
        <f>Ledger!G503</f>
        <v/>
      </c>
    </row>
    <row r="504">
      <c r="A504" s="9">
        <f>IF(Ledger!I504&lt;&gt;"Open","",IF(Ledger!F504&lt;=TODAY()+7,"Yes","-"))</f>
        <v/>
      </c>
      <c r="B504" s="9">
        <f>Ledger!C504</f>
        <v/>
      </c>
      <c r="C504" s="9">
        <f>Ledger!D504</f>
        <v/>
      </c>
      <c r="D504" s="10">
        <f>Ledger!E504</f>
        <v/>
      </c>
      <c r="E504" s="8">
        <f>Ledger!F504</f>
        <v/>
      </c>
      <c r="F504" s="9">
        <f>Ledger!G504</f>
        <v/>
      </c>
    </row>
    <row r="505">
      <c r="A505" s="9">
        <f>IF(Ledger!I505&lt;&gt;"Open","",IF(Ledger!F505&lt;=TODAY()+7,"Yes","-"))</f>
        <v/>
      </c>
      <c r="B505" s="9">
        <f>Ledger!C505</f>
        <v/>
      </c>
      <c r="C505" s="9">
        <f>Ledger!D505</f>
        <v/>
      </c>
      <c r="D505" s="10">
        <f>Ledger!E505</f>
        <v/>
      </c>
      <c r="E505" s="8">
        <f>Ledger!F505</f>
        <v/>
      </c>
      <c r="F505" s="9">
        <f>Ledger!G505</f>
        <v/>
      </c>
    </row>
    <row r="506">
      <c r="A506" s="9">
        <f>IF(Ledger!I506&lt;&gt;"Open","",IF(Ledger!F506&lt;=TODAY()+7,"Yes","-"))</f>
        <v/>
      </c>
      <c r="B506" s="9">
        <f>Ledger!C506</f>
        <v/>
      </c>
      <c r="C506" s="9">
        <f>Ledger!D506</f>
        <v/>
      </c>
      <c r="D506" s="10">
        <f>Ledger!E506</f>
        <v/>
      </c>
      <c r="E506" s="8">
        <f>Ledger!F506</f>
        <v/>
      </c>
      <c r="F506" s="9">
        <f>Ledger!G506</f>
        <v/>
      </c>
    </row>
    <row r="507">
      <c r="A507" s="9">
        <f>IF(Ledger!I507&lt;&gt;"Open","",IF(Ledger!F507&lt;=TODAY()+7,"Yes","-"))</f>
        <v/>
      </c>
      <c r="B507" s="9">
        <f>Ledger!C507</f>
        <v/>
      </c>
      <c r="C507" s="9">
        <f>Ledger!D507</f>
        <v/>
      </c>
      <c r="D507" s="10">
        <f>Ledger!E507</f>
        <v/>
      </c>
      <c r="E507" s="8">
        <f>Ledger!F507</f>
        <v/>
      </c>
      <c r="F507" s="9">
        <f>Ledger!G507</f>
        <v/>
      </c>
    </row>
    <row r="508">
      <c r="A508" s="9">
        <f>IF(Ledger!I508&lt;&gt;"Open","",IF(Ledger!F508&lt;=TODAY()+7,"Yes","-"))</f>
        <v/>
      </c>
      <c r="B508" s="9">
        <f>Ledger!C508</f>
        <v/>
      </c>
      <c r="C508" s="9">
        <f>Ledger!D508</f>
        <v/>
      </c>
      <c r="D508" s="10">
        <f>Ledger!E508</f>
        <v/>
      </c>
      <c r="E508" s="8">
        <f>Ledger!F508</f>
        <v/>
      </c>
      <c r="F508" s="9">
        <f>Ledger!G508</f>
        <v/>
      </c>
    </row>
    <row r="509">
      <c r="A509" s="9">
        <f>IF(Ledger!I509&lt;&gt;"Open","",IF(Ledger!F509&lt;=TODAY()+7,"Yes","-"))</f>
        <v/>
      </c>
      <c r="B509" s="9">
        <f>Ledger!C509</f>
        <v/>
      </c>
      <c r="C509" s="9">
        <f>Ledger!D509</f>
        <v/>
      </c>
      <c r="D509" s="10">
        <f>Ledger!E509</f>
        <v/>
      </c>
      <c r="E509" s="8">
        <f>Ledger!F509</f>
        <v/>
      </c>
      <c r="F509" s="9">
        <f>Ledger!G509</f>
        <v/>
      </c>
    </row>
    <row r="510">
      <c r="A510" s="9">
        <f>IF(Ledger!I510&lt;&gt;"Open","",IF(Ledger!F510&lt;=TODAY()+7,"Yes","-"))</f>
        <v/>
      </c>
      <c r="B510" s="9">
        <f>Ledger!C510</f>
        <v/>
      </c>
      <c r="C510" s="9">
        <f>Ledger!D510</f>
        <v/>
      </c>
      <c r="D510" s="10">
        <f>Ledger!E510</f>
        <v/>
      </c>
      <c r="E510" s="8">
        <f>Ledger!F510</f>
        <v/>
      </c>
      <c r="F510" s="9">
        <f>Ledger!G510</f>
        <v/>
      </c>
    </row>
    <row r="511">
      <c r="A511" s="9">
        <f>IF(Ledger!I511&lt;&gt;"Open","",IF(Ledger!F511&lt;=TODAY()+7,"Yes","-"))</f>
        <v/>
      </c>
      <c r="B511" s="9">
        <f>Ledger!C511</f>
        <v/>
      </c>
      <c r="C511" s="9">
        <f>Ledger!D511</f>
        <v/>
      </c>
      <c r="D511" s="10">
        <f>Ledger!E511</f>
        <v/>
      </c>
      <c r="E511" s="8">
        <f>Ledger!F511</f>
        <v/>
      </c>
      <c r="F511" s="9">
        <f>Ledger!G511</f>
        <v/>
      </c>
    </row>
    <row r="512">
      <c r="A512" s="9">
        <f>IF(Ledger!I512&lt;&gt;"Open","",IF(Ledger!F512&lt;=TODAY()+7,"Yes","-"))</f>
        <v/>
      </c>
      <c r="B512" s="9">
        <f>Ledger!C512</f>
        <v/>
      </c>
      <c r="C512" s="9">
        <f>Ledger!D512</f>
        <v/>
      </c>
      <c r="D512" s="10">
        <f>Ledger!E512</f>
        <v/>
      </c>
      <c r="E512" s="8">
        <f>Ledger!F512</f>
        <v/>
      </c>
      <c r="F512" s="9">
        <f>Ledger!G512</f>
        <v/>
      </c>
    </row>
    <row r="513">
      <c r="A513" s="9">
        <f>IF(Ledger!I513&lt;&gt;"Open","",IF(Ledger!F513&lt;=TODAY()+7,"Yes","-"))</f>
        <v/>
      </c>
      <c r="B513" s="9">
        <f>Ledger!C513</f>
        <v/>
      </c>
      <c r="C513" s="9">
        <f>Ledger!D513</f>
        <v/>
      </c>
      <c r="D513" s="10">
        <f>Ledger!E513</f>
        <v/>
      </c>
      <c r="E513" s="8">
        <f>Ledger!F513</f>
        <v/>
      </c>
      <c r="F513" s="9">
        <f>Ledger!G513</f>
        <v/>
      </c>
    </row>
    <row r="514">
      <c r="A514" s="9">
        <f>IF(Ledger!I514&lt;&gt;"Open","",IF(Ledger!F514&lt;=TODAY()+7,"Yes","-"))</f>
        <v/>
      </c>
      <c r="B514" s="9">
        <f>Ledger!C514</f>
        <v/>
      </c>
      <c r="C514" s="9">
        <f>Ledger!D514</f>
        <v/>
      </c>
      <c r="D514" s="10">
        <f>Ledger!E514</f>
        <v/>
      </c>
      <c r="E514" s="8">
        <f>Ledger!F514</f>
        <v/>
      </c>
      <c r="F514" s="9">
        <f>Ledger!G514</f>
        <v/>
      </c>
    </row>
    <row r="515">
      <c r="A515" s="9">
        <f>IF(Ledger!I515&lt;&gt;"Open","",IF(Ledger!F515&lt;=TODAY()+7,"Yes","-"))</f>
        <v/>
      </c>
      <c r="B515" s="9">
        <f>Ledger!C515</f>
        <v/>
      </c>
      <c r="C515" s="9">
        <f>Ledger!D515</f>
        <v/>
      </c>
      <c r="D515" s="10">
        <f>Ledger!E515</f>
        <v/>
      </c>
      <c r="E515" s="8">
        <f>Ledger!F515</f>
        <v/>
      </c>
      <c r="F515" s="9">
        <f>Ledger!G515</f>
        <v/>
      </c>
    </row>
    <row r="516">
      <c r="A516" s="9">
        <f>IF(Ledger!I516&lt;&gt;"Open","",IF(Ledger!F516&lt;=TODAY()+7,"Yes","-"))</f>
        <v/>
      </c>
      <c r="B516" s="9">
        <f>Ledger!C516</f>
        <v/>
      </c>
      <c r="C516" s="9">
        <f>Ledger!D516</f>
        <v/>
      </c>
      <c r="D516" s="10">
        <f>Ledger!E516</f>
        <v/>
      </c>
      <c r="E516" s="8">
        <f>Ledger!F516</f>
        <v/>
      </c>
      <c r="F516" s="9">
        <f>Ledger!G516</f>
        <v/>
      </c>
    </row>
    <row r="517">
      <c r="A517" s="9">
        <f>IF(Ledger!I517&lt;&gt;"Open","",IF(Ledger!F517&lt;=TODAY()+7,"Yes","-"))</f>
        <v/>
      </c>
      <c r="B517" s="9">
        <f>Ledger!C517</f>
        <v/>
      </c>
      <c r="C517" s="9">
        <f>Ledger!D517</f>
        <v/>
      </c>
      <c r="D517" s="10">
        <f>Ledger!E517</f>
        <v/>
      </c>
      <c r="E517" s="8">
        <f>Ledger!F517</f>
        <v/>
      </c>
      <c r="F517" s="9">
        <f>Ledger!G517</f>
        <v/>
      </c>
    </row>
    <row r="518">
      <c r="A518" s="9">
        <f>IF(Ledger!I518&lt;&gt;"Open","",IF(Ledger!F518&lt;=TODAY()+7,"Yes","-"))</f>
        <v/>
      </c>
      <c r="B518" s="9">
        <f>Ledger!C518</f>
        <v/>
      </c>
      <c r="C518" s="9">
        <f>Ledger!D518</f>
        <v/>
      </c>
      <c r="D518" s="10">
        <f>Ledger!E518</f>
        <v/>
      </c>
      <c r="E518" s="8">
        <f>Ledger!F518</f>
        <v/>
      </c>
      <c r="F518" s="9">
        <f>Ledger!G518</f>
        <v/>
      </c>
    </row>
    <row r="519">
      <c r="A519" s="9">
        <f>IF(Ledger!I519&lt;&gt;"Open","",IF(Ledger!F519&lt;=TODAY()+7,"Yes","-"))</f>
        <v/>
      </c>
      <c r="B519" s="9">
        <f>Ledger!C519</f>
        <v/>
      </c>
      <c r="C519" s="9">
        <f>Ledger!D519</f>
        <v/>
      </c>
      <c r="D519" s="10">
        <f>Ledger!E519</f>
        <v/>
      </c>
      <c r="E519" s="8">
        <f>Ledger!F519</f>
        <v/>
      </c>
      <c r="F519" s="9">
        <f>Ledger!G519</f>
        <v/>
      </c>
    </row>
    <row r="520">
      <c r="A520" s="9">
        <f>IF(Ledger!I520&lt;&gt;"Open","",IF(Ledger!F520&lt;=TODAY()+7,"Yes","-"))</f>
        <v/>
      </c>
      <c r="B520" s="9">
        <f>Ledger!C520</f>
        <v/>
      </c>
      <c r="C520" s="9">
        <f>Ledger!D520</f>
        <v/>
      </c>
      <c r="D520" s="10">
        <f>Ledger!E520</f>
        <v/>
      </c>
      <c r="E520" s="8">
        <f>Ledger!F520</f>
        <v/>
      </c>
      <c r="F520" s="9">
        <f>Ledger!G520</f>
        <v/>
      </c>
    </row>
    <row r="521">
      <c r="A521" s="9">
        <f>IF(Ledger!I521&lt;&gt;"Open","",IF(Ledger!F521&lt;=TODAY()+7,"Yes","-"))</f>
        <v/>
      </c>
      <c r="B521" s="9">
        <f>Ledger!C521</f>
        <v/>
      </c>
      <c r="C521" s="9">
        <f>Ledger!D521</f>
        <v/>
      </c>
      <c r="D521" s="10">
        <f>Ledger!E521</f>
        <v/>
      </c>
      <c r="E521" s="8">
        <f>Ledger!F521</f>
        <v/>
      </c>
      <c r="F521" s="9">
        <f>Ledger!G521</f>
        <v/>
      </c>
    </row>
    <row r="522">
      <c r="A522" s="9">
        <f>IF(Ledger!I522&lt;&gt;"Open","",IF(Ledger!F522&lt;=TODAY()+7,"Yes","-"))</f>
        <v/>
      </c>
      <c r="B522" s="9">
        <f>Ledger!C522</f>
        <v/>
      </c>
      <c r="C522" s="9">
        <f>Ledger!D522</f>
        <v/>
      </c>
      <c r="D522" s="10">
        <f>Ledger!E522</f>
        <v/>
      </c>
      <c r="E522" s="8">
        <f>Ledger!F522</f>
        <v/>
      </c>
      <c r="F522" s="9">
        <f>Ledger!G522</f>
        <v/>
      </c>
    </row>
    <row r="523">
      <c r="A523" s="9">
        <f>IF(Ledger!I523&lt;&gt;"Open","",IF(Ledger!F523&lt;=TODAY()+7,"Yes","-"))</f>
        <v/>
      </c>
      <c r="B523" s="9">
        <f>Ledger!C523</f>
        <v/>
      </c>
      <c r="C523" s="9">
        <f>Ledger!D523</f>
        <v/>
      </c>
      <c r="D523" s="10">
        <f>Ledger!E523</f>
        <v/>
      </c>
      <c r="E523" s="8">
        <f>Ledger!F523</f>
        <v/>
      </c>
      <c r="F523" s="9">
        <f>Ledger!G523</f>
        <v/>
      </c>
    </row>
    <row r="524">
      <c r="A524" s="9">
        <f>IF(Ledger!I524&lt;&gt;"Open","",IF(Ledger!F524&lt;=TODAY()+7,"Yes","-"))</f>
        <v/>
      </c>
      <c r="B524" s="9">
        <f>Ledger!C524</f>
        <v/>
      </c>
      <c r="C524" s="9">
        <f>Ledger!D524</f>
        <v/>
      </c>
      <c r="D524" s="10">
        <f>Ledger!E524</f>
        <v/>
      </c>
      <c r="E524" s="8">
        <f>Ledger!F524</f>
        <v/>
      </c>
      <c r="F524" s="9">
        <f>Ledger!G524</f>
        <v/>
      </c>
    </row>
    <row r="525">
      <c r="A525" s="9">
        <f>IF(Ledger!I525&lt;&gt;"Open","",IF(Ledger!F525&lt;=TODAY()+7,"Yes","-"))</f>
        <v/>
      </c>
      <c r="B525" s="9">
        <f>Ledger!C525</f>
        <v/>
      </c>
      <c r="C525" s="9">
        <f>Ledger!D525</f>
        <v/>
      </c>
      <c r="D525" s="10">
        <f>Ledger!E525</f>
        <v/>
      </c>
      <c r="E525" s="8">
        <f>Ledger!F525</f>
        <v/>
      </c>
      <c r="F525" s="9">
        <f>Ledger!G525</f>
        <v/>
      </c>
    </row>
    <row r="526">
      <c r="A526" s="9">
        <f>IF(Ledger!I526&lt;&gt;"Open","",IF(Ledger!F526&lt;=TODAY()+7,"Yes","-"))</f>
        <v/>
      </c>
      <c r="B526" s="9">
        <f>Ledger!C526</f>
        <v/>
      </c>
      <c r="C526" s="9">
        <f>Ledger!D526</f>
        <v/>
      </c>
      <c r="D526" s="10">
        <f>Ledger!E526</f>
        <v/>
      </c>
      <c r="E526" s="8">
        <f>Ledger!F526</f>
        <v/>
      </c>
      <c r="F526" s="9">
        <f>Ledger!G526</f>
        <v/>
      </c>
    </row>
    <row r="527">
      <c r="A527" s="9">
        <f>IF(Ledger!I527&lt;&gt;"Open","",IF(Ledger!F527&lt;=TODAY()+7,"Yes","-"))</f>
        <v/>
      </c>
      <c r="B527" s="9">
        <f>Ledger!C527</f>
        <v/>
      </c>
      <c r="C527" s="9">
        <f>Ledger!D527</f>
        <v/>
      </c>
      <c r="D527" s="10">
        <f>Ledger!E527</f>
        <v/>
      </c>
      <c r="E527" s="8">
        <f>Ledger!F527</f>
        <v/>
      </c>
      <c r="F527" s="9">
        <f>Ledger!G527</f>
        <v/>
      </c>
    </row>
    <row r="528">
      <c r="A528" s="9">
        <f>IF(Ledger!I528&lt;&gt;"Open","",IF(Ledger!F528&lt;=TODAY()+7,"Yes","-"))</f>
        <v/>
      </c>
      <c r="B528" s="9">
        <f>Ledger!C528</f>
        <v/>
      </c>
      <c r="C528" s="9">
        <f>Ledger!D528</f>
        <v/>
      </c>
      <c r="D528" s="10">
        <f>Ledger!E528</f>
        <v/>
      </c>
      <c r="E528" s="8">
        <f>Ledger!F528</f>
        <v/>
      </c>
      <c r="F528" s="9">
        <f>Ledger!G528</f>
        <v/>
      </c>
    </row>
    <row r="529">
      <c r="A529" s="9">
        <f>IF(Ledger!I529&lt;&gt;"Open","",IF(Ledger!F529&lt;=TODAY()+7,"Yes","-"))</f>
        <v/>
      </c>
      <c r="B529" s="9">
        <f>Ledger!C529</f>
        <v/>
      </c>
      <c r="C529" s="9">
        <f>Ledger!D529</f>
        <v/>
      </c>
      <c r="D529" s="10">
        <f>Ledger!E529</f>
        <v/>
      </c>
      <c r="E529" s="8">
        <f>Ledger!F529</f>
        <v/>
      </c>
      <c r="F529" s="9">
        <f>Ledger!G529</f>
        <v/>
      </c>
    </row>
    <row r="530">
      <c r="A530" s="9">
        <f>IF(Ledger!I530&lt;&gt;"Open","",IF(Ledger!F530&lt;=TODAY()+7,"Yes","-"))</f>
        <v/>
      </c>
      <c r="B530" s="9">
        <f>Ledger!C530</f>
        <v/>
      </c>
      <c r="C530" s="9">
        <f>Ledger!D530</f>
        <v/>
      </c>
      <c r="D530" s="10">
        <f>Ledger!E530</f>
        <v/>
      </c>
      <c r="E530" s="8">
        <f>Ledger!F530</f>
        <v/>
      </c>
      <c r="F530" s="9">
        <f>Ledger!G530</f>
        <v/>
      </c>
    </row>
    <row r="531">
      <c r="A531" s="9">
        <f>IF(Ledger!I531&lt;&gt;"Open","",IF(Ledger!F531&lt;=TODAY()+7,"Yes","-"))</f>
        <v/>
      </c>
      <c r="B531" s="9">
        <f>Ledger!C531</f>
        <v/>
      </c>
      <c r="C531" s="9">
        <f>Ledger!D531</f>
        <v/>
      </c>
      <c r="D531" s="10">
        <f>Ledger!E531</f>
        <v/>
      </c>
      <c r="E531" s="8">
        <f>Ledger!F531</f>
        <v/>
      </c>
      <c r="F531" s="9">
        <f>Ledger!G531</f>
        <v/>
      </c>
    </row>
    <row r="532">
      <c r="A532" s="9">
        <f>IF(Ledger!I532&lt;&gt;"Open","",IF(Ledger!F532&lt;=TODAY()+7,"Yes","-"))</f>
        <v/>
      </c>
      <c r="B532" s="9">
        <f>Ledger!C532</f>
        <v/>
      </c>
      <c r="C532" s="9">
        <f>Ledger!D532</f>
        <v/>
      </c>
      <c r="D532" s="10">
        <f>Ledger!E532</f>
        <v/>
      </c>
      <c r="E532" s="8">
        <f>Ledger!F532</f>
        <v/>
      </c>
      <c r="F532" s="9">
        <f>Ledger!G532</f>
        <v/>
      </c>
    </row>
    <row r="533">
      <c r="A533" s="9">
        <f>IF(Ledger!I533&lt;&gt;"Open","",IF(Ledger!F533&lt;=TODAY()+7,"Yes","-"))</f>
        <v/>
      </c>
      <c r="B533" s="9">
        <f>Ledger!C533</f>
        <v/>
      </c>
      <c r="C533" s="9">
        <f>Ledger!D533</f>
        <v/>
      </c>
      <c r="D533" s="10">
        <f>Ledger!E533</f>
        <v/>
      </c>
      <c r="E533" s="8">
        <f>Ledger!F533</f>
        <v/>
      </c>
      <c r="F533" s="9">
        <f>Ledger!G533</f>
        <v/>
      </c>
    </row>
    <row r="534">
      <c r="A534" s="9">
        <f>IF(Ledger!I534&lt;&gt;"Open","",IF(Ledger!F534&lt;=TODAY()+7,"Yes","-"))</f>
        <v/>
      </c>
      <c r="B534" s="9">
        <f>Ledger!C534</f>
        <v/>
      </c>
      <c r="C534" s="9">
        <f>Ledger!D534</f>
        <v/>
      </c>
      <c r="D534" s="10">
        <f>Ledger!E534</f>
        <v/>
      </c>
      <c r="E534" s="8">
        <f>Ledger!F534</f>
        <v/>
      </c>
      <c r="F534" s="9">
        <f>Ledger!G534</f>
        <v/>
      </c>
    </row>
    <row r="535">
      <c r="A535" s="9">
        <f>IF(Ledger!I535&lt;&gt;"Open","",IF(Ledger!F535&lt;=TODAY()+7,"Yes","-"))</f>
        <v/>
      </c>
      <c r="B535" s="9">
        <f>Ledger!C535</f>
        <v/>
      </c>
      <c r="C535" s="9">
        <f>Ledger!D535</f>
        <v/>
      </c>
      <c r="D535" s="10">
        <f>Ledger!E535</f>
        <v/>
      </c>
      <c r="E535" s="8">
        <f>Ledger!F535</f>
        <v/>
      </c>
      <c r="F535" s="9">
        <f>Ledger!G535</f>
        <v/>
      </c>
    </row>
    <row r="536">
      <c r="A536" s="9">
        <f>IF(Ledger!I536&lt;&gt;"Open","",IF(Ledger!F536&lt;=TODAY()+7,"Yes","-"))</f>
        <v/>
      </c>
      <c r="B536" s="9">
        <f>Ledger!C536</f>
        <v/>
      </c>
      <c r="C536" s="9">
        <f>Ledger!D536</f>
        <v/>
      </c>
      <c r="D536" s="10">
        <f>Ledger!E536</f>
        <v/>
      </c>
      <c r="E536" s="8">
        <f>Ledger!F536</f>
        <v/>
      </c>
      <c r="F536" s="9">
        <f>Ledger!G536</f>
        <v/>
      </c>
    </row>
    <row r="537">
      <c r="A537" s="9">
        <f>IF(Ledger!I537&lt;&gt;"Open","",IF(Ledger!F537&lt;=TODAY()+7,"Yes","-"))</f>
        <v/>
      </c>
      <c r="B537" s="9">
        <f>Ledger!C537</f>
        <v/>
      </c>
      <c r="C537" s="9">
        <f>Ledger!D537</f>
        <v/>
      </c>
      <c r="D537" s="10">
        <f>Ledger!E537</f>
        <v/>
      </c>
      <c r="E537" s="8">
        <f>Ledger!F537</f>
        <v/>
      </c>
      <c r="F537" s="9">
        <f>Ledger!G537</f>
        <v/>
      </c>
    </row>
    <row r="538">
      <c r="A538" s="9">
        <f>IF(Ledger!I538&lt;&gt;"Open","",IF(Ledger!F538&lt;=TODAY()+7,"Yes","-"))</f>
        <v/>
      </c>
      <c r="B538" s="9">
        <f>Ledger!C538</f>
        <v/>
      </c>
      <c r="C538" s="9">
        <f>Ledger!D538</f>
        <v/>
      </c>
      <c r="D538" s="10">
        <f>Ledger!E538</f>
        <v/>
      </c>
      <c r="E538" s="8">
        <f>Ledger!F538</f>
        <v/>
      </c>
      <c r="F538" s="9">
        <f>Ledger!G538</f>
        <v/>
      </c>
    </row>
    <row r="539">
      <c r="A539" s="9">
        <f>IF(Ledger!I539&lt;&gt;"Open","",IF(Ledger!F539&lt;=TODAY()+7,"Yes","-"))</f>
        <v/>
      </c>
      <c r="B539" s="9">
        <f>Ledger!C539</f>
        <v/>
      </c>
      <c r="C539" s="9">
        <f>Ledger!D539</f>
        <v/>
      </c>
      <c r="D539" s="10">
        <f>Ledger!E539</f>
        <v/>
      </c>
      <c r="E539" s="8">
        <f>Ledger!F539</f>
        <v/>
      </c>
      <c r="F539" s="9">
        <f>Ledger!G539</f>
        <v/>
      </c>
    </row>
    <row r="540">
      <c r="A540" s="9">
        <f>IF(Ledger!I540&lt;&gt;"Open","",IF(Ledger!F540&lt;=TODAY()+7,"Yes","-"))</f>
        <v/>
      </c>
      <c r="B540" s="9">
        <f>Ledger!C540</f>
        <v/>
      </c>
      <c r="C540" s="9">
        <f>Ledger!D540</f>
        <v/>
      </c>
      <c r="D540" s="10">
        <f>Ledger!E540</f>
        <v/>
      </c>
      <c r="E540" s="8">
        <f>Ledger!F540</f>
        <v/>
      </c>
      <c r="F540" s="9">
        <f>Ledger!G540</f>
        <v/>
      </c>
    </row>
    <row r="541">
      <c r="A541" s="9">
        <f>IF(Ledger!I541&lt;&gt;"Open","",IF(Ledger!F541&lt;=TODAY()+7,"Yes","-"))</f>
        <v/>
      </c>
      <c r="B541" s="9">
        <f>Ledger!C541</f>
        <v/>
      </c>
      <c r="C541" s="9">
        <f>Ledger!D541</f>
        <v/>
      </c>
      <c r="D541" s="10">
        <f>Ledger!E541</f>
        <v/>
      </c>
      <c r="E541" s="8">
        <f>Ledger!F541</f>
        <v/>
      </c>
      <c r="F541" s="9">
        <f>Ledger!G541</f>
        <v/>
      </c>
    </row>
    <row r="542">
      <c r="A542" s="9">
        <f>IF(Ledger!I542&lt;&gt;"Open","",IF(Ledger!F542&lt;=TODAY()+7,"Yes","-"))</f>
        <v/>
      </c>
      <c r="B542" s="9">
        <f>Ledger!C542</f>
        <v/>
      </c>
      <c r="C542" s="9">
        <f>Ledger!D542</f>
        <v/>
      </c>
      <c r="D542" s="10">
        <f>Ledger!E542</f>
        <v/>
      </c>
      <c r="E542" s="8">
        <f>Ledger!F542</f>
        <v/>
      </c>
      <c r="F542" s="9">
        <f>Ledger!G542</f>
        <v/>
      </c>
    </row>
    <row r="543">
      <c r="A543" s="9">
        <f>IF(Ledger!I543&lt;&gt;"Open","",IF(Ledger!F543&lt;=TODAY()+7,"Yes","-"))</f>
        <v/>
      </c>
      <c r="B543" s="9">
        <f>Ledger!C543</f>
        <v/>
      </c>
      <c r="C543" s="9">
        <f>Ledger!D543</f>
        <v/>
      </c>
      <c r="D543" s="10">
        <f>Ledger!E543</f>
        <v/>
      </c>
      <c r="E543" s="8">
        <f>Ledger!F543</f>
        <v/>
      </c>
      <c r="F543" s="9">
        <f>Ledger!G543</f>
        <v/>
      </c>
    </row>
    <row r="544">
      <c r="A544" s="9">
        <f>IF(Ledger!I544&lt;&gt;"Open","",IF(Ledger!F544&lt;=TODAY()+7,"Yes","-"))</f>
        <v/>
      </c>
      <c r="B544" s="9">
        <f>Ledger!C544</f>
        <v/>
      </c>
      <c r="C544" s="9">
        <f>Ledger!D544</f>
        <v/>
      </c>
      <c r="D544" s="10">
        <f>Ledger!E544</f>
        <v/>
      </c>
      <c r="E544" s="8">
        <f>Ledger!F544</f>
        <v/>
      </c>
      <c r="F544" s="9">
        <f>Ledger!G544</f>
        <v/>
      </c>
    </row>
    <row r="545">
      <c r="A545" s="9">
        <f>IF(Ledger!I545&lt;&gt;"Open","",IF(Ledger!F545&lt;=TODAY()+7,"Yes","-"))</f>
        <v/>
      </c>
      <c r="B545" s="9">
        <f>Ledger!C545</f>
        <v/>
      </c>
      <c r="C545" s="9">
        <f>Ledger!D545</f>
        <v/>
      </c>
      <c r="D545" s="10">
        <f>Ledger!E545</f>
        <v/>
      </c>
      <c r="E545" s="8">
        <f>Ledger!F545</f>
        <v/>
      </c>
      <c r="F545" s="9">
        <f>Ledger!G545</f>
        <v/>
      </c>
    </row>
    <row r="546">
      <c r="A546" s="9">
        <f>IF(Ledger!I546&lt;&gt;"Open","",IF(Ledger!F546&lt;=TODAY()+7,"Yes","-"))</f>
        <v/>
      </c>
      <c r="B546" s="9">
        <f>Ledger!C546</f>
        <v/>
      </c>
      <c r="C546" s="9">
        <f>Ledger!D546</f>
        <v/>
      </c>
      <c r="D546" s="10">
        <f>Ledger!E546</f>
        <v/>
      </c>
      <c r="E546" s="8">
        <f>Ledger!F546</f>
        <v/>
      </c>
      <c r="F546" s="9">
        <f>Ledger!G546</f>
        <v/>
      </c>
    </row>
    <row r="547">
      <c r="A547" s="9">
        <f>IF(Ledger!I547&lt;&gt;"Open","",IF(Ledger!F547&lt;=TODAY()+7,"Yes","-"))</f>
        <v/>
      </c>
      <c r="B547" s="9">
        <f>Ledger!C547</f>
        <v/>
      </c>
      <c r="C547" s="9">
        <f>Ledger!D547</f>
        <v/>
      </c>
      <c r="D547" s="10">
        <f>Ledger!E547</f>
        <v/>
      </c>
      <c r="E547" s="8">
        <f>Ledger!F547</f>
        <v/>
      </c>
      <c r="F547" s="9">
        <f>Ledger!G547</f>
        <v/>
      </c>
    </row>
    <row r="548">
      <c r="A548" s="9">
        <f>IF(Ledger!I548&lt;&gt;"Open","",IF(Ledger!F548&lt;=TODAY()+7,"Yes","-"))</f>
        <v/>
      </c>
      <c r="B548" s="9">
        <f>Ledger!C548</f>
        <v/>
      </c>
      <c r="C548" s="9">
        <f>Ledger!D548</f>
        <v/>
      </c>
      <c r="D548" s="10">
        <f>Ledger!E548</f>
        <v/>
      </c>
      <c r="E548" s="8">
        <f>Ledger!F548</f>
        <v/>
      </c>
      <c r="F548" s="9">
        <f>Ledger!G548</f>
        <v/>
      </c>
    </row>
    <row r="549">
      <c r="A549" s="9">
        <f>IF(Ledger!I549&lt;&gt;"Open","",IF(Ledger!F549&lt;=TODAY()+7,"Yes","-"))</f>
        <v/>
      </c>
      <c r="B549" s="9">
        <f>Ledger!C549</f>
        <v/>
      </c>
      <c r="C549" s="9">
        <f>Ledger!D549</f>
        <v/>
      </c>
      <c r="D549" s="10">
        <f>Ledger!E549</f>
        <v/>
      </c>
      <c r="E549" s="8">
        <f>Ledger!F549</f>
        <v/>
      </c>
      <c r="F549" s="9">
        <f>Ledger!G549</f>
        <v/>
      </c>
    </row>
    <row r="550">
      <c r="A550" s="9">
        <f>IF(Ledger!I550&lt;&gt;"Open","",IF(Ledger!F550&lt;=TODAY()+7,"Yes","-"))</f>
        <v/>
      </c>
      <c r="B550" s="9">
        <f>Ledger!C550</f>
        <v/>
      </c>
      <c r="C550" s="9">
        <f>Ledger!D550</f>
        <v/>
      </c>
      <c r="D550" s="10">
        <f>Ledger!E550</f>
        <v/>
      </c>
      <c r="E550" s="8">
        <f>Ledger!F550</f>
        <v/>
      </c>
      <c r="F550" s="9">
        <f>Ledger!G550</f>
        <v/>
      </c>
    </row>
    <row r="551">
      <c r="A551" s="9">
        <f>IF(Ledger!I551&lt;&gt;"Open","",IF(Ledger!F551&lt;=TODAY()+7,"Yes","-"))</f>
        <v/>
      </c>
      <c r="B551" s="9">
        <f>Ledger!C551</f>
        <v/>
      </c>
      <c r="C551" s="9">
        <f>Ledger!D551</f>
        <v/>
      </c>
      <c r="D551" s="10">
        <f>Ledger!E551</f>
        <v/>
      </c>
      <c r="E551" s="8">
        <f>Ledger!F551</f>
        <v/>
      </c>
      <c r="F551" s="9">
        <f>Ledger!G551</f>
        <v/>
      </c>
    </row>
    <row r="552">
      <c r="A552" s="9">
        <f>IF(Ledger!I552&lt;&gt;"Open","",IF(Ledger!F552&lt;=TODAY()+7,"Yes","-"))</f>
        <v/>
      </c>
      <c r="B552" s="9">
        <f>Ledger!C552</f>
        <v/>
      </c>
      <c r="C552" s="9">
        <f>Ledger!D552</f>
        <v/>
      </c>
      <c r="D552" s="10">
        <f>Ledger!E552</f>
        <v/>
      </c>
      <c r="E552" s="8">
        <f>Ledger!F552</f>
        <v/>
      </c>
      <c r="F552" s="9">
        <f>Ledger!G552</f>
        <v/>
      </c>
    </row>
    <row r="553">
      <c r="A553" s="9">
        <f>IF(Ledger!I553&lt;&gt;"Open","",IF(Ledger!F553&lt;=TODAY()+7,"Yes","-"))</f>
        <v/>
      </c>
      <c r="B553" s="9">
        <f>Ledger!C553</f>
        <v/>
      </c>
      <c r="C553" s="9">
        <f>Ledger!D553</f>
        <v/>
      </c>
      <c r="D553" s="10">
        <f>Ledger!E553</f>
        <v/>
      </c>
      <c r="E553" s="8">
        <f>Ledger!F553</f>
        <v/>
      </c>
      <c r="F553" s="9">
        <f>Ledger!G553</f>
        <v/>
      </c>
    </row>
    <row r="554">
      <c r="A554" s="9">
        <f>IF(Ledger!I554&lt;&gt;"Open","",IF(Ledger!F554&lt;=TODAY()+7,"Yes","-"))</f>
        <v/>
      </c>
      <c r="B554" s="9">
        <f>Ledger!C554</f>
        <v/>
      </c>
      <c r="C554" s="9">
        <f>Ledger!D554</f>
        <v/>
      </c>
      <c r="D554" s="10">
        <f>Ledger!E554</f>
        <v/>
      </c>
      <c r="E554" s="8">
        <f>Ledger!F554</f>
        <v/>
      </c>
      <c r="F554" s="9">
        <f>Ledger!G554</f>
        <v/>
      </c>
    </row>
    <row r="555">
      <c r="A555" s="9">
        <f>IF(Ledger!I555&lt;&gt;"Open","",IF(Ledger!F555&lt;=TODAY()+7,"Yes","-"))</f>
        <v/>
      </c>
      <c r="B555" s="9">
        <f>Ledger!C555</f>
        <v/>
      </c>
      <c r="C555" s="9">
        <f>Ledger!D555</f>
        <v/>
      </c>
      <c r="D555" s="10">
        <f>Ledger!E555</f>
        <v/>
      </c>
      <c r="E555" s="8">
        <f>Ledger!F555</f>
        <v/>
      </c>
      <c r="F555" s="9">
        <f>Ledger!G555</f>
        <v/>
      </c>
    </row>
    <row r="556">
      <c r="A556" s="9">
        <f>IF(Ledger!I556&lt;&gt;"Open","",IF(Ledger!F556&lt;=TODAY()+7,"Yes","-"))</f>
        <v/>
      </c>
      <c r="B556" s="9">
        <f>Ledger!C556</f>
        <v/>
      </c>
      <c r="C556" s="9">
        <f>Ledger!D556</f>
        <v/>
      </c>
      <c r="D556" s="10">
        <f>Ledger!E556</f>
        <v/>
      </c>
      <c r="E556" s="8">
        <f>Ledger!F556</f>
        <v/>
      </c>
      <c r="F556" s="9">
        <f>Ledger!G556</f>
        <v/>
      </c>
    </row>
    <row r="557">
      <c r="A557" s="9">
        <f>IF(Ledger!I557&lt;&gt;"Open","",IF(Ledger!F557&lt;=TODAY()+7,"Yes","-"))</f>
        <v/>
      </c>
      <c r="B557" s="9">
        <f>Ledger!C557</f>
        <v/>
      </c>
      <c r="C557" s="9">
        <f>Ledger!D557</f>
        <v/>
      </c>
      <c r="D557" s="10">
        <f>Ledger!E557</f>
        <v/>
      </c>
      <c r="E557" s="8">
        <f>Ledger!F557</f>
        <v/>
      </c>
      <c r="F557" s="9">
        <f>Ledger!G557</f>
        <v/>
      </c>
    </row>
    <row r="558">
      <c r="A558" s="9">
        <f>IF(Ledger!I558&lt;&gt;"Open","",IF(Ledger!F558&lt;=TODAY()+7,"Yes","-"))</f>
        <v/>
      </c>
      <c r="B558" s="9">
        <f>Ledger!C558</f>
        <v/>
      </c>
      <c r="C558" s="9">
        <f>Ledger!D558</f>
        <v/>
      </c>
      <c r="D558" s="10">
        <f>Ledger!E558</f>
        <v/>
      </c>
      <c r="E558" s="8">
        <f>Ledger!F558</f>
        <v/>
      </c>
      <c r="F558" s="9">
        <f>Ledger!G558</f>
        <v/>
      </c>
    </row>
    <row r="559">
      <c r="A559" s="9">
        <f>IF(Ledger!I559&lt;&gt;"Open","",IF(Ledger!F559&lt;=TODAY()+7,"Yes","-"))</f>
        <v/>
      </c>
      <c r="B559" s="9">
        <f>Ledger!C559</f>
        <v/>
      </c>
      <c r="C559" s="9">
        <f>Ledger!D559</f>
        <v/>
      </c>
      <c r="D559" s="10">
        <f>Ledger!E559</f>
        <v/>
      </c>
      <c r="E559" s="8">
        <f>Ledger!F559</f>
        <v/>
      </c>
      <c r="F559" s="9">
        <f>Ledger!G559</f>
        <v/>
      </c>
    </row>
    <row r="560">
      <c r="A560" s="9">
        <f>IF(Ledger!I560&lt;&gt;"Open","",IF(Ledger!F560&lt;=TODAY()+7,"Yes","-"))</f>
        <v/>
      </c>
      <c r="B560" s="9">
        <f>Ledger!C560</f>
        <v/>
      </c>
      <c r="C560" s="9">
        <f>Ledger!D560</f>
        <v/>
      </c>
      <c r="D560" s="10">
        <f>Ledger!E560</f>
        <v/>
      </c>
      <c r="E560" s="8">
        <f>Ledger!F560</f>
        <v/>
      </c>
      <c r="F560" s="9">
        <f>Ledger!G560</f>
        <v/>
      </c>
    </row>
    <row r="561">
      <c r="A561" s="9">
        <f>IF(Ledger!I561&lt;&gt;"Open","",IF(Ledger!F561&lt;=TODAY()+7,"Yes","-"))</f>
        <v/>
      </c>
      <c r="B561" s="9">
        <f>Ledger!C561</f>
        <v/>
      </c>
      <c r="C561" s="9">
        <f>Ledger!D561</f>
        <v/>
      </c>
      <c r="D561" s="10">
        <f>Ledger!E561</f>
        <v/>
      </c>
      <c r="E561" s="8">
        <f>Ledger!F561</f>
        <v/>
      </c>
      <c r="F561" s="9">
        <f>Ledger!G561</f>
        <v/>
      </c>
    </row>
    <row r="562">
      <c r="A562" s="9">
        <f>IF(Ledger!I562&lt;&gt;"Open","",IF(Ledger!F562&lt;=TODAY()+7,"Yes","-"))</f>
        <v/>
      </c>
      <c r="B562" s="9">
        <f>Ledger!C562</f>
        <v/>
      </c>
      <c r="C562" s="9">
        <f>Ledger!D562</f>
        <v/>
      </c>
      <c r="D562" s="10">
        <f>Ledger!E562</f>
        <v/>
      </c>
      <c r="E562" s="8">
        <f>Ledger!F562</f>
        <v/>
      </c>
      <c r="F562" s="9">
        <f>Ledger!G562</f>
        <v/>
      </c>
    </row>
    <row r="563">
      <c r="A563" s="9">
        <f>IF(Ledger!I563&lt;&gt;"Open","",IF(Ledger!F563&lt;=TODAY()+7,"Yes","-"))</f>
        <v/>
      </c>
      <c r="B563" s="9">
        <f>Ledger!C563</f>
        <v/>
      </c>
      <c r="C563" s="9">
        <f>Ledger!D563</f>
        <v/>
      </c>
      <c r="D563" s="10">
        <f>Ledger!E563</f>
        <v/>
      </c>
      <c r="E563" s="8">
        <f>Ledger!F563</f>
        <v/>
      </c>
      <c r="F563" s="9">
        <f>Ledger!G563</f>
        <v/>
      </c>
    </row>
    <row r="564">
      <c r="A564" s="9">
        <f>IF(Ledger!I564&lt;&gt;"Open","",IF(Ledger!F564&lt;=TODAY()+7,"Yes","-"))</f>
        <v/>
      </c>
      <c r="B564" s="9">
        <f>Ledger!C564</f>
        <v/>
      </c>
      <c r="C564" s="9">
        <f>Ledger!D564</f>
        <v/>
      </c>
      <c r="D564" s="10">
        <f>Ledger!E564</f>
        <v/>
      </c>
      <c r="E564" s="8">
        <f>Ledger!F564</f>
        <v/>
      </c>
      <c r="F564" s="9">
        <f>Ledger!G564</f>
        <v/>
      </c>
    </row>
    <row r="565">
      <c r="A565" s="9">
        <f>IF(Ledger!I565&lt;&gt;"Open","",IF(Ledger!F565&lt;=TODAY()+7,"Yes","-"))</f>
        <v/>
      </c>
      <c r="B565" s="9">
        <f>Ledger!C565</f>
        <v/>
      </c>
      <c r="C565" s="9">
        <f>Ledger!D565</f>
        <v/>
      </c>
      <c r="D565" s="10">
        <f>Ledger!E565</f>
        <v/>
      </c>
      <c r="E565" s="8">
        <f>Ledger!F565</f>
        <v/>
      </c>
      <c r="F565" s="9">
        <f>Ledger!G565</f>
        <v/>
      </c>
    </row>
    <row r="566">
      <c r="A566" s="9">
        <f>IF(Ledger!I566&lt;&gt;"Open","",IF(Ledger!F566&lt;=TODAY()+7,"Yes","-"))</f>
        <v/>
      </c>
      <c r="B566" s="9">
        <f>Ledger!C566</f>
        <v/>
      </c>
      <c r="C566" s="9">
        <f>Ledger!D566</f>
        <v/>
      </c>
      <c r="D566" s="10">
        <f>Ledger!E566</f>
        <v/>
      </c>
      <c r="E566" s="8">
        <f>Ledger!F566</f>
        <v/>
      </c>
      <c r="F566" s="9">
        <f>Ledger!G566</f>
        <v/>
      </c>
    </row>
    <row r="567">
      <c r="A567" s="9">
        <f>IF(Ledger!I567&lt;&gt;"Open","",IF(Ledger!F567&lt;=TODAY()+7,"Yes","-"))</f>
        <v/>
      </c>
      <c r="B567" s="9">
        <f>Ledger!C567</f>
        <v/>
      </c>
      <c r="C567" s="9">
        <f>Ledger!D567</f>
        <v/>
      </c>
      <c r="D567" s="10">
        <f>Ledger!E567</f>
        <v/>
      </c>
      <c r="E567" s="8">
        <f>Ledger!F567</f>
        <v/>
      </c>
      <c r="F567" s="9">
        <f>Ledger!G567</f>
        <v/>
      </c>
    </row>
    <row r="568">
      <c r="A568" s="9">
        <f>IF(Ledger!I568&lt;&gt;"Open","",IF(Ledger!F568&lt;=TODAY()+7,"Yes","-"))</f>
        <v/>
      </c>
      <c r="B568" s="9">
        <f>Ledger!C568</f>
        <v/>
      </c>
      <c r="C568" s="9">
        <f>Ledger!D568</f>
        <v/>
      </c>
      <c r="D568" s="10">
        <f>Ledger!E568</f>
        <v/>
      </c>
      <c r="E568" s="8">
        <f>Ledger!F568</f>
        <v/>
      </c>
      <c r="F568" s="9">
        <f>Ledger!G568</f>
        <v/>
      </c>
    </row>
    <row r="569">
      <c r="A569" s="9">
        <f>IF(Ledger!I569&lt;&gt;"Open","",IF(Ledger!F569&lt;=TODAY()+7,"Yes","-"))</f>
        <v/>
      </c>
      <c r="B569" s="9">
        <f>Ledger!C569</f>
        <v/>
      </c>
      <c r="C569" s="9">
        <f>Ledger!D569</f>
        <v/>
      </c>
      <c r="D569" s="10">
        <f>Ledger!E569</f>
        <v/>
      </c>
      <c r="E569" s="8">
        <f>Ledger!F569</f>
        <v/>
      </c>
      <c r="F569" s="9">
        <f>Ledger!G569</f>
        <v/>
      </c>
    </row>
    <row r="570">
      <c r="A570" s="9">
        <f>IF(Ledger!I570&lt;&gt;"Open","",IF(Ledger!F570&lt;=TODAY()+7,"Yes","-"))</f>
        <v/>
      </c>
      <c r="B570" s="9">
        <f>Ledger!C570</f>
        <v/>
      </c>
      <c r="C570" s="9">
        <f>Ledger!D570</f>
        <v/>
      </c>
      <c r="D570" s="10">
        <f>Ledger!E570</f>
        <v/>
      </c>
      <c r="E570" s="8">
        <f>Ledger!F570</f>
        <v/>
      </c>
      <c r="F570" s="9">
        <f>Ledger!G570</f>
        <v/>
      </c>
    </row>
    <row r="571">
      <c r="A571" s="9">
        <f>IF(Ledger!I571&lt;&gt;"Open","",IF(Ledger!F571&lt;=TODAY()+7,"Yes","-"))</f>
        <v/>
      </c>
      <c r="B571" s="9">
        <f>Ledger!C571</f>
        <v/>
      </c>
      <c r="C571" s="9">
        <f>Ledger!D571</f>
        <v/>
      </c>
      <c r="D571" s="10">
        <f>Ledger!E571</f>
        <v/>
      </c>
      <c r="E571" s="8">
        <f>Ledger!F571</f>
        <v/>
      </c>
      <c r="F571" s="9">
        <f>Ledger!G571</f>
        <v/>
      </c>
    </row>
    <row r="572">
      <c r="A572" s="9">
        <f>IF(Ledger!I572&lt;&gt;"Open","",IF(Ledger!F572&lt;=TODAY()+7,"Yes","-"))</f>
        <v/>
      </c>
      <c r="B572" s="9">
        <f>Ledger!C572</f>
        <v/>
      </c>
      <c r="C572" s="9">
        <f>Ledger!D572</f>
        <v/>
      </c>
      <c r="D572" s="10">
        <f>Ledger!E572</f>
        <v/>
      </c>
      <c r="E572" s="8">
        <f>Ledger!F572</f>
        <v/>
      </c>
      <c r="F572" s="9">
        <f>Ledger!G572</f>
        <v/>
      </c>
    </row>
    <row r="573">
      <c r="A573" s="9">
        <f>IF(Ledger!I573&lt;&gt;"Open","",IF(Ledger!F573&lt;=TODAY()+7,"Yes","-"))</f>
        <v/>
      </c>
      <c r="B573" s="9">
        <f>Ledger!C573</f>
        <v/>
      </c>
      <c r="C573" s="9">
        <f>Ledger!D573</f>
        <v/>
      </c>
      <c r="D573" s="10">
        <f>Ledger!E573</f>
        <v/>
      </c>
      <c r="E573" s="8">
        <f>Ledger!F573</f>
        <v/>
      </c>
      <c r="F573" s="9">
        <f>Ledger!G573</f>
        <v/>
      </c>
    </row>
    <row r="574">
      <c r="A574" s="9">
        <f>IF(Ledger!I574&lt;&gt;"Open","",IF(Ledger!F574&lt;=TODAY()+7,"Yes","-"))</f>
        <v/>
      </c>
      <c r="B574" s="9">
        <f>Ledger!C574</f>
        <v/>
      </c>
      <c r="C574" s="9">
        <f>Ledger!D574</f>
        <v/>
      </c>
      <c r="D574" s="10">
        <f>Ledger!E574</f>
        <v/>
      </c>
      <c r="E574" s="8">
        <f>Ledger!F574</f>
        <v/>
      </c>
      <c r="F574" s="9">
        <f>Ledger!G574</f>
        <v/>
      </c>
    </row>
    <row r="575">
      <c r="A575" s="9">
        <f>IF(Ledger!I575&lt;&gt;"Open","",IF(Ledger!F575&lt;=TODAY()+7,"Yes","-"))</f>
        <v/>
      </c>
      <c r="B575" s="9">
        <f>Ledger!C575</f>
        <v/>
      </c>
      <c r="C575" s="9">
        <f>Ledger!D575</f>
        <v/>
      </c>
      <c r="D575" s="10">
        <f>Ledger!E575</f>
        <v/>
      </c>
      <c r="E575" s="8">
        <f>Ledger!F575</f>
        <v/>
      </c>
      <c r="F575" s="9">
        <f>Ledger!G575</f>
        <v/>
      </c>
    </row>
    <row r="576">
      <c r="A576" s="9">
        <f>IF(Ledger!I576&lt;&gt;"Open","",IF(Ledger!F576&lt;=TODAY()+7,"Yes","-"))</f>
        <v/>
      </c>
      <c r="B576" s="9">
        <f>Ledger!C576</f>
        <v/>
      </c>
      <c r="C576" s="9">
        <f>Ledger!D576</f>
        <v/>
      </c>
      <c r="D576" s="10">
        <f>Ledger!E576</f>
        <v/>
      </c>
      <c r="E576" s="8">
        <f>Ledger!F576</f>
        <v/>
      </c>
      <c r="F576" s="9">
        <f>Ledger!G576</f>
        <v/>
      </c>
    </row>
    <row r="577">
      <c r="A577" s="9">
        <f>IF(Ledger!I577&lt;&gt;"Open","",IF(Ledger!F577&lt;=TODAY()+7,"Yes","-"))</f>
        <v/>
      </c>
      <c r="B577" s="9">
        <f>Ledger!C577</f>
        <v/>
      </c>
      <c r="C577" s="9">
        <f>Ledger!D577</f>
        <v/>
      </c>
      <c r="D577" s="10">
        <f>Ledger!E577</f>
        <v/>
      </c>
      <c r="E577" s="8">
        <f>Ledger!F577</f>
        <v/>
      </c>
      <c r="F577" s="9">
        <f>Ledger!G577</f>
        <v/>
      </c>
    </row>
    <row r="578">
      <c r="A578" s="9">
        <f>IF(Ledger!I578&lt;&gt;"Open","",IF(Ledger!F578&lt;=TODAY()+7,"Yes","-"))</f>
        <v/>
      </c>
      <c r="B578" s="9">
        <f>Ledger!C578</f>
        <v/>
      </c>
      <c r="C578" s="9">
        <f>Ledger!D578</f>
        <v/>
      </c>
      <c r="D578" s="10">
        <f>Ledger!E578</f>
        <v/>
      </c>
      <c r="E578" s="8">
        <f>Ledger!F578</f>
        <v/>
      </c>
      <c r="F578" s="9">
        <f>Ledger!G578</f>
        <v/>
      </c>
    </row>
    <row r="579">
      <c r="A579" s="9">
        <f>IF(Ledger!I579&lt;&gt;"Open","",IF(Ledger!F579&lt;=TODAY()+7,"Yes","-"))</f>
        <v/>
      </c>
      <c r="B579" s="9">
        <f>Ledger!C579</f>
        <v/>
      </c>
      <c r="C579" s="9">
        <f>Ledger!D579</f>
        <v/>
      </c>
      <c r="D579" s="10">
        <f>Ledger!E579</f>
        <v/>
      </c>
      <c r="E579" s="8">
        <f>Ledger!F579</f>
        <v/>
      </c>
      <c r="F579" s="9">
        <f>Ledger!G579</f>
        <v/>
      </c>
    </row>
    <row r="580">
      <c r="A580" s="9">
        <f>IF(Ledger!I580&lt;&gt;"Open","",IF(Ledger!F580&lt;=TODAY()+7,"Yes","-"))</f>
        <v/>
      </c>
      <c r="B580" s="9">
        <f>Ledger!C580</f>
        <v/>
      </c>
      <c r="C580" s="9">
        <f>Ledger!D580</f>
        <v/>
      </c>
      <c r="D580" s="10">
        <f>Ledger!E580</f>
        <v/>
      </c>
      <c r="E580" s="8">
        <f>Ledger!F580</f>
        <v/>
      </c>
      <c r="F580" s="9">
        <f>Ledger!G580</f>
        <v/>
      </c>
    </row>
    <row r="581">
      <c r="A581" s="9">
        <f>IF(Ledger!I581&lt;&gt;"Open","",IF(Ledger!F581&lt;=TODAY()+7,"Yes","-"))</f>
        <v/>
      </c>
      <c r="B581" s="9">
        <f>Ledger!C581</f>
        <v/>
      </c>
      <c r="C581" s="9">
        <f>Ledger!D581</f>
        <v/>
      </c>
      <c r="D581" s="10">
        <f>Ledger!E581</f>
        <v/>
      </c>
      <c r="E581" s="8">
        <f>Ledger!F581</f>
        <v/>
      </c>
      <c r="F581" s="9">
        <f>Ledger!G581</f>
        <v/>
      </c>
    </row>
    <row r="582">
      <c r="A582" s="9">
        <f>IF(Ledger!I582&lt;&gt;"Open","",IF(Ledger!F582&lt;=TODAY()+7,"Yes","-"))</f>
        <v/>
      </c>
      <c r="B582" s="9">
        <f>Ledger!C582</f>
        <v/>
      </c>
      <c r="C582" s="9">
        <f>Ledger!D582</f>
        <v/>
      </c>
      <c r="D582" s="10">
        <f>Ledger!E582</f>
        <v/>
      </c>
      <c r="E582" s="8">
        <f>Ledger!F582</f>
        <v/>
      </c>
      <c r="F582" s="9">
        <f>Ledger!G582</f>
        <v/>
      </c>
    </row>
    <row r="583">
      <c r="A583" s="9">
        <f>IF(Ledger!I583&lt;&gt;"Open","",IF(Ledger!F583&lt;=TODAY()+7,"Yes","-"))</f>
        <v/>
      </c>
      <c r="B583" s="9">
        <f>Ledger!C583</f>
        <v/>
      </c>
      <c r="C583" s="9">
        <f>Ledger!D583</f>
        <v/>
      </c>
      <c r="D583" s="10">
        <f>Ledger!E583</f>
        <v/>
      </c>
      <c r="E583" s="8">
        <f>Ledger!F583</f>
        <v/>
      </c>
      <c r="F583" s="9">
        <f>Ledger!G583</f>
        <v/>
      </c>
    </row>
    <row r="584">
      <c r="A584" s="9">
        <f>IF(Ledger!I584&lt;&gt;"Open","",IF(Ledger!F584&lt;=TODAY()+7,"Yes","-"))</f>
        <v/>
      </c>
      <c r="B584" s="9">
        <f>Ledger!C584</f>
        <v/>
      </c>
      <c r="C584" s="9">
        <f>Ledger!D584</f>
        <v/>
      </c>
      <c r="D584" s="10">
        <f>Ledger!E584</f>
        <v/>
      </c>
      <c r="E584" s="8">
        <f>Ledger!F584</f>
        <v/>
      </c>
      <c r="F584" s="9">
        <f>Ledger!G584</f>
        <v/>
      </c>
    </row>
    <row r="585">
      <c r="A585" s="9">
        <f>IF(Ledger!I585&lt;&gt;"Open","",IF(Ledger!F585&lt;=TODAY()+7,"Yes","-"))</f>
        <v/>
      </c>
      <c r="B585" s="9">
        <f>Ledger!C585</f>
        <v/>
      </c>
      <c r="C585" s="9">
        <f>Ledger!D585</f>
        <v/>
      </c>
      <c r="D585" s="10">
        <f>Ledger!E585</f>
        <v/>
      </c>
      <c r="E585" s="8">
        <f>Ledger!F585</f>
        <v/>
      </c>
      <c r="F585" s="9">
        <f>Ledger!G585</f>
        <v/>
      </c>
    </row>
    <row r="586">
      <c r="A586" s="9">
        <f>IF(Ledger!I586&lt;&gt;"Open","",IF(Ledger!F586&lt;=TODAY()+7,"Yes","-"))</f>
        <v/>
      </c>
      <c r="B586" s="9">
        <f>Ledger!C586</f>
        <v/>
      </c>
      <c r="C586" s="9">
        <f>Ledger!D586</f>
        <v/>
      </c>
      <c r="D586" s="10">
        <f>Ledger!E586</f>
        <v/>
      </c>
      <c r="E586" s="8">
        <f>Ledger!F586</f>
        <v/>
      </c>
      <c r="F586" s="9">
        <f>Ledger!G586</f>
        <v/>
      </c>
    </row>
    <row r="587">
      <c r="A587" s="9">
        <f>IF(Ledger!I587&lt;&gt;"Open","",IF(Ledger!F587&lt;=TODAY()+7,"Yes","-"))</f>
        <v/>
      </c>
      <c r="B587" s="9">
        <f>Ledger!C587</f>
        <v/>
      </c>
      <c r="C587" s="9">
        <f>Ledger!D587</f>
        <v/>
      </c>
      <c r="D587" s="10">
        <f>Ledger!E587</f>
        <v/>
      </c>
      <c r="E587" s="8">
        <f>Ledger!F587</f>
        <v/>
      </c>
      <c r="F587" s="9">
        <f>Ledger!G587</f>
        <v/>
      </c>
    </row>
    <row r="588">
      <c r="A588" s="9">
        <f>IF(Ledger!I588&lt;&gt;"Open","",IF(Ledger!F588&lt;=TODAY()+7,"Yes","-"))</f>
        <v/>
      </c>
      <c r="B588" s="9">
        <f>Ledger!C588</f>
        <v/>
      </c>
      <c r="C588" s="9">
        <f>Ledger!D588</f>
        <v/>
      </c>
      <c r="D588" s="10">
        <f>Ledger!E588</f>
        <v/>
      </c>
      <c r="E588" s="8">
        <f>Ledger!F588</f>
        <v/>
      </c>
      <c r="F588" s="9">
        <f>Ledger!G588</f>
        <v/>
      </c>
    </row>
    <row r="589">
      <c r="A589" s="9">
        <f>IF(Ledger!I589&lt;&gt;"Open","",IF(Ledger!F589&lt;=TODAY()+7,"Yes","-"))</f>
        <v/>
      </c>
      <c r="B589" s="9">
        <f>Ledger!C589</f>
        <v/>
      </c>
      <c r="C589" s="9">
        <f>Ledger!D589</f>
        <v/>
      </c>
      <c r="D589" s="10">
        <f>Ledger!E589</f>
        <v/>
      </c>
      <c r="E589" s="8">
        <f>Ledger!F589</f>
        <v/>
      </c>
      <c r="F589" s="9">
        <f>Ledger!G589</f>
        <v/>
      </c>
    </row>
    <row r="590">
      <c r="A590" s="9">
        <f>IF(Ledger!I590&lt;&gt;"Open","",IF(Ledger!F590&lt;=TODAY()+7,"Yes","-"))</f>
        <v/>
      </c>
      <c r="B590" s="9">
        <f>Ledger!C590</f>
        <v/>
      </c>
      <c r="C590" s="9">
        <f>Ledger!D590</f>
        <v/>
      </c>
      <c r="D590" s="10">
        <f>Ledger!E590</f>
        <v/>
      </c>
      <c r="E590" s="8">
        <f>Ledger!F590</f>
        <v/>
      </c>
      <c r="F590" s="9">
        <f>Ledger!G590</f>
        <v/>
      </c>
    </row>
    <row r="591">
      <c r="A591" s="9">
        <f>IF(Ledger!I591&lt;&gt;"Open","",IF(Ledger!F591&lt;=TODAY()+7,"Yes","-"))</f>
        <v/>
      </c>
      <c r="B591" s="9">
        <f>Ledger!C591</f>
        <v/>
      </c>
      <c r="C591" s="9">
        <f>Ledger!D591</f>
        <v/>
      </c>
      <c r="D591" s="10">
        <f>Ledger!E591</f>
        <v/>
      </c>
      <c r="E591" s="8">
        <f>Ledger!F591</f>
        <v/>
      </c>
      <c r="F591" s="9">
        <f>Ledger!G591</f>
        <v/>
      </c>
    </row>
    <row r="592">
      <c r="A592" s="9">
        <f>IF(Ledger!I592&lt;&gt;"Open","",IF(Ledger!F592&lt;=TODAY()+7,"Yes","-"))</f>
        <v/>
      </c>
      <c r="B592" s="9">
        <f>Ledger!C592</f>
        <v/>
      </c>
      <c r="C592" s="9">
        <f>Ledger!D592</f>
        <v/>
      </c>
      <c r="D592" s="10">
        <f>Ledger!E592</f>
        <v/>
      </c>
      <c r="E592" s="8">
        <f>Ledger!F592</f>
        <v/>
      </c>
      <c r="F592" s="9">
        <f>Ledger!G592</f>
        <v/>
      </c>
    </row>
    <row r="593">
      <c r="A593" s="9">
        <f>IF(Ledger!I593&lt;&gt;"Open","",IF(Ledger!F593&lt;=TODAY()+7,"Yes","-"))</f>
        <v/>
      </c>
      <c r="B593" s="9">
        <f>Ledger!C593</f>
        <v/>
      </c>
      <c r="C593" s="9">
        <f>Ledger!D593</f>
        <v/>
      </c>
      <c r="D593" s="10">
        <f>Ledger!E593</f>
        <v/>
      </c>
      <c r="E593" s="8">
        <f>Ledger!F593</f>
        <v/>
      </c>
      <c r="F593" s="9">
        <f>Ledger!G593</f>
        <v/>
      </c>
    </row>
    <row r="594">
      <c r="A594" s="9">
        <f>IF(Ledger!I594&lt;&gt;"Open","",IF(Ledger!F594&lt;=TODAY()+7,"Yes","-"))</f>
        <v/>
      </c>
      <c r="B594" s="9">
        <f>Ledger!C594</f>
        <v/>
      </c>
      <c r="C594" s="9">
        <f>Ledger!D594</f>
        <v/>
      </c>
      <c r="D594" s="10">
        <f>Ledger!E594</f>
        <v/>
      </c>
      <c r="E594" s="8">
        <f>Ledger!F594</f>
        <v/>
      </c>
      <c r="F594" s="9">
        <f>Ledger!G594</f>
        <v/>
      </c>
    </row>
    <row r="595">
      <c r="A595" s="9">
        <f>IF(Ledger!I595&lt;&gt;"Open","",IF(Ledger!F595&lt;=TODAY()+7,"Yes","-"))</f>
        <v/>
      </c>
      <c r="B595" s="9">
        <f>Ledger!C595</f>
        <v/>
      </c>
      <c r="C595" s="9">
        <f>Ledger!D595</f>
        <v/>
      </c>
      <c r="D595" s="10">
        <f>Ledger!E595</f>
        <v/>
      </c>
      <c r="E595" s="8">
        <f>Ledger!F595</f>
        <v/>
      </c>
      <c r="F595" s="9">
        <f>Ledger!G595</f>
        <v/>
      </c>
    </row>
    <row r="596">
      <c r="A596" s="9">
        <f>IF(Ledger!I596&lt;&gt;"Open","",IF(Ledger!F596&lt;=TODAY()+7,"Yes","-"))</f>
        <v/>
      </c>
      <c r="B596" s="9">
        <f>Ledger!C596</f>
        <v/>
      </c>
      <c r="C596" s="9">
        <f>Ledger!D596</f>
        <v/>
      </c>
      <c r="D596" s="10">
        <f>Ledger!E596</f>
        <v/>
      </c>
      <c r="E596" s="8">
        <f>Ledger!F596</f>
        <v/>
      </c>
      <c r="F596" s="9">
        <f>Ledger!G596</f>
        <v/>
      </c>
    </row>
    <row r="597">
      <c r="A597" s="9">
        <f>IF(Ledger!I597&lt;&gt;"Open","",IF(Ledger!F597&lt;=TODAY()+7,"Yes","-"))</f>
        <v/>
      </c>
      <c r="B597" s="9">
        <f>Ledger!C597</f>
        <v/>
      </c>
      <c r="C597" s="9">
        <f>Ledger!D597</f>
        <v/>
      </c>
      <c r="D597" s="10">
        <f>Ledger!E597</f>
        <v/>
      </c>
      <c r="E597" s="8">
        <f>Ledger!F597</f>
        <v/>
      </c>
      <c r="F597" s="9">
        <f>Ledger!G597</f>
        <v/>
      </c>
    </row>
    <row r="598">
      <c r="A598" s="9">
        <f>IF(Ledger!I598&lt;&gt;"Open","",IF(Ledger!F598&lt;=TODAY()+7,"Yes","-"))</f>
        <v/>
      </c>
      <c r="B598" s="9">
        <f>Ledger!C598</f>
        <v/>
      </c>
      <c r="C598" s="9">
        <f>Ledger!D598</f>
        <v/>
      </c>
      <c r="D598" s="10">
        <f>Ledger!E598</f>
        <v/>
      </c>
      <c r="E598" s="8">
        <f>Ledger!F598</f>
        <v/>
      </c>
      <c r="F598" s="9">
        <f>Ledger!G598</f>
        <v/>
      </c>
    </row>
    <row r="599">
      <c r="A599" s="9">
        <f>IF(Ledger!I599&lt;&gt;"Open","",IF(Ledger!F599&lt;=TODAY()+7,"Yes","-"))</f>
        <v/>
      </c>
      <c r="B599" s="9">
        <f>Ledger!C599</f>
        <v/>
      </c>
      <c r="C599" s="9">
        <f>Ledger!D599</f>
        <v/>
      </c>
      <c r="D599" s="10">
        <f>Ledger!E599</f>
        <v/>
      </c>
      <c r="E599" s="8">
        <f>Ledger!F599</f>
        <v/>
      </c>
      <c r="F599" s="9">
        <f>Ledger!G599</f>
        <v/>
      </c>
    </row>
    <row r="600">
      <c r="A600" s="9">
        <f>IF(Ledger!I600&lt;&gt;"Open","",IF(Ledger!F600&lt;=TODAY()+7,"Yes","-"))</f>
        <v/>
      </c>
      <c r="B600" s="9">
        <f>Ledger!C600</f>
        <v/>
      </c>
      <c r="C600" s="9">
        <f>Ledger!D600</f>
        <v/>
      </c>
      <c r="D600" s="10">
        <f>Ledger!E600</f>
        <v/>
      </c>
      <c r="E600" s="8">
        <f>Ledger!F600</f>
        <v/>
      </c>
      <c r="F600" s="9">
        <f>Ledger!G600</f>
        <v/>
      </c>
    </row>
    <row r="601">
      <c r="A601" s="9">
        <f>IF(Ledger!I601&lt;&gt;"Open","",IF(Ledger!F601&lt;=TODAY()+7,"Yes","-"))</f>
        <v/>
      </c>
      <c r="B601" s="9">
        <f>Ledger!C601</f>
        <v/>
      </c>
      <c r="C601" s="9">
        <f>Ledger!D601</f>
        <v/>
      </c>
      <c r="D601" s="10">
        <f>Ledger!E601</f>
        <v/>
      </c>
      <c r="E601" s="8">
        <f>Ledger!F601</f>
        <v/>
      </c>
      <c r="F601" s="9">
        <f>Ledger!G601</f>
        <v/>
      </c>
    </row>
    <row r="602">
      <c r="A602" s="9">
        <f>IF(Ledger!I602&lt;&gt;"Open","",IF(Ledger!F602&lt;=TODAY()+7,"Yes","-"))</f>
        <v/>
      </c>
      <c r="B602" s="9">
        <f>Ledger!C602</f>
        <v/>
      </c>
      <c r="C602" s="9">
        <f>Ledger!D602</f>
        <v/>
      </c>
      <c r="D602" s="10">
        <f>Ledger!E602</f>
        <v/>
      </c>
      <c r="E602" s="8">
        <f>Ledger!F602</f>
        <v/>
      </c>
      <c r="F602" s="9">
        <f>Ledger!G602</f>
        <v/>
      </c>
    </row>
    <row r="603">
      <c r="A603" s="9">
        <f>IF(Ledger!I603&lt;&gt;"Open","",IF(Ledger!F603&lt;=TODAY()+7,"Yes","-"))</f>
        <v/>
      </c>
      <c r="B603" s="9">
        <f>Ledger!C603</f>
        <v/>
      </c>
      <c r="C603" s="9">
        <f>Ledger!D603</f>
        <v/>
      </c>
      <c r="D603" s="10">
        <f>Ledger!E603</f>
        <v/>
      </c>
      <c r="E603" s="8">
        <f>Ledger!F603</f>
        <v/>
      </c>
      <c r="F603" s="9">
        <f>Ledger!G603</f>
        <v/>
      </c>
    </row>
    <row r="604">
      <c r="A604" s="9">
        <f>IF(Ledger!I604&lt;&gt;"Open","",IF(Ledger!F604&lt;=TODAY()+7,"Yes","-"))</f>
        <v/>
      </c>
      <c r="B604" s="9">
        <f>Ledger!C604</f>
        <v/>
      </c>
      <c r="C604" s="9">
        <f>Ledger!D604</f>
        <v/>
      </c>
      <c r="D604" s="10">
        <f>Ledger!E604</f>
        <v/>
      </c>
      <c r="E604" s="8">
        <f>Ledger!F604</f>
        <v/>
      </c>
      <c r="F604" s="9">
        <f>Ledger!G604</f>
        <v/>
      </c>
    </row>
  </sheetData>
  <autoFilter ref="A4:F604"/>
  <conditionalFormatting sqref="A5:F604">
    <cfRule type="expression" priority="1" dxfId="1">
      <formula>$A5="Yes"</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B1:F31"/>
  <sheetViews>
    <sheetView showGridLines="0" workbookViewId="0">
      <selection activeCell="A1" sqref="A1"/>
    </sheetView>
  </sheetViews>
  <sheetFormatPr baseColWidth="8" defaultRowHeight="15"/>
  <cols>
    <col width="3" customWidth="1" min="1" max="1"/>
    <col width="30" customWidth="1" min="2" max="2"/>
    <col width="18" customWidth="1" min="3" max="3"/>
    <col width="6" customWidth="1" min="4" max="4"/>
    <col width="30" customWidth="1" min="5" max="5"/>
    <col width="18" customWidth="1" min="6" max="6"/>
    <col width="4" customWidth="1" min="7" max="7"/>
  </cols>
  <sheetData>
    <row r="1"/>
    <row r="2">
      <c r="B2" s="1" t="inlineStr">
        <is>
          <t>Bank Reconciliation and AP/AR</t>
        </is>
      </c>
    </row>
    <row r="3">
      <c r="B3" s="2" t="inlineStr">
        <is>
          <t>Your business - paste your statement into Bank, your invoices and bills into Ledger.</t>
        </is>
      </c>
    </row>
    <row r="5">
      <c r="B5" s="5" t="inlineStr">
        <is>
          <t>Unreconciled bank lines</t>
        </is>
      </c>
      <c r="E5" s="5" t="inlineStr">
        <is>
          <t>Lines needing review</t>
        </is>
      </c>
    </row>
    <row r="6">
      <c r="B6" s="16">
        <f>COUNTIF(Bank!$H:$H,"UNMATCHED*")</f>
        <v/>
      </c>
      <c r="E6" s="16">
        <f>COUNTIF(Bank!$H:$H,"REVIEW*")</f>
        <v/>
      </c>
    </row>
    <row r="9">
      <c r="B9" s="5" t="inlineStr">
        <is>
          <t>Receivables outstanding</t>
        </is>
      </c>
      <c r="E9" s="5" t="inlineStr">
        <is>
          <t>Payables outstanding</t>
        </is>
      </c>
    </row>
    <row r="10">
      <c r="B10" s="17">
        <f>SUMIFS(Ledger!$E:$E,Ledger!$B:$B,"Invoice",Ledger!$I:$I,"Open")</f>
        <v/>
      </c>
      <c r="E10" s="17">
        <f>SUMIFS(Ledger!$E:$E,Ledger!$B:$B,"Bill",Ledger!$I:$I,"Open")</f>
        <v/>
      </c>
    </row>
    <row r="13">
      <c r="B13" s="5" t="inlineStr">
        <is>
          <t>Overdue receivables</t>
        </is>
      </c>
      <c r="E13" s="5" t="inlineStr">
        <is>
          <t>Due to suppliers within 7 days</t>
        </is>
      </c>
    </row>
    <row r="14">
      <c r="B14" s="17">
        <f>SUMIFS(Ledger!$E:$E,Ledger!$B:$B,"Invoice",Ledger!$I:$I,"Open",Ledger!$G:$G,"&gt;0")</f>
        <v/>
      </c>
      <c r="E14" s="17">
        <f>SUMPRODUCT((Ledger!$B$5:$B$500="Bill")*(Ledger!$I$5:$I$500="Open")*(Ledger!$F$5:$F$500&lt;=TODAY()+7)*(Ledger!$F$5:$F$500&lt;&gt;"")*Ledger!$E$5:$E$500)</f>
        <v/>
      </c>
    </row>
    <row r="17">
      <c r="B17" s="5" t="inlineStr">
        <is>
          <t>Reconciled this period</t>
        </is>
      </c>
    </row>
    <row r="18">
      <c r="B18" s="3">
        <f>TEXT(COUNTIF(Bank!$H:$H,"Matched")/MAX(1,COUNTIF(Bank!$H:$H,"Matched")+COUNTIF(Bank!$H:$H,"UNMATCHED*")+COUNTIF(Bank!$H:$H,"REVIEW*")),"0%")&amp;" of bank lines matched to a ledger entry"</f>
        <v/>
      </c>
    </row>
    <row r="20">
      <c r="B20" s="3" t="inlineStr">
        <is>
          <t>Does the cash agree?</t>
        </is>
      </c>
    </row>
    <row r="21">
      <c r="B21" s="5" t="inlineStr">
        <is>
          <t>Closing balance per the books</t>
        </is>
      </c>
      <c r="C21" s="18">
        <f>Bank!$G$2+SUM(Bank!$E:$E)</f>
        <v/>
      </c>
    </row>
    <row r="22">
      <c r="B22" s="5" t="inlineStr">
        <is>
          <t>Closing balance per the statement</t>
        </is>
      </c>
      <c r="C22" s="18">
        <f>Bank!$G$3</f>
        <v/>
      </c>
    </row>
    <row r="23">
      <c r="B23" s="5" t="inlineStr">
        <is>
          <t>Variance</t>
        </is>
      </c>
      <c r="C23" s="18">
        <f>ROUND(C21-C22,2)</f>
        <v/>
      </c>
      <c r="E23" s="3">
        <f>IF(ROUND(C23,2)=0,"Reconciled - the cash agrees to the penny","NOT RECONCILED - find the difference before doing anything else")</f>
        <v/>
      </c>
    </row>
    <row r="26">
      <c r="B26" t="inlineStr">
        <is>
          <t>How to read this</t>
        </is>
      </c>
    </row>
    <row r="27" ht="28" customHeight="1">
      <c r="B27" s="4" t="inlineStr">
        <is>
          <t>- Unreconciled bank lines - money moved that the books do not explain. Work these first; everything else is arithmetic.</t>
        </is>
      </c>
    </row>
    <row r="28" ht="28" customHeight="1">
      <c r="B28" s="4" t="inlineStr">
        <is>
          <t>- Lines needing review - the same amount twice on the statement, or one that matches several ledger entries. The sheet will not guess which is which, and neither should you.</t>
        </is>
      </c>
    </row>
    <row r="29" ht="28" customHeight="1">
      <c r="B29" s="4" t="inlineStr">
        <is>
          <t>- Overdue receivables is the number a business owner actually wants. Receivables outstanding includes invoices that are not late yet.</t>
        </is>
      </c>
    </row>
    <row r="30" ht="28" customHeight="1">
      <c r="B30" s="4" t="inlineStr">
        <is>
          <t>- Aging buckets and the payment run both recalculate from TODAY(), so this workbook is still correct next month without being edited.</t>
        </is>
      </c>
    </row>
    <row r="31" ht="28" customHeight="1">
      <c r="B31" s="4" t="inlineStr">
        <is>
          <t>- A zero variance does NOT mean the books are right. The cash can agree to the penny while transactions above still have no explanation - agreeing and being correct are different questions, and this sheet asks both.</t>
        </is>
      </c>
    </row>
  </sheetData>
  <mergeCells count="5">
    <mergeCell ref="B30:F30"/>
    <mergeCell ref="B29:F29"/>
    <mergeCell ref="B28:F28"/>
    <mergeCell ref="B31:F31"/>
    <mergeCell ref="B27:F27"/>
  </mergeCells>
  <conditionalFormatting sqref="E23">
    <cfRule type="expression" priority="1" dxfId="0">
      <formula>ROUND($C$23,2)&lt;&gt;0</formula>
    </cfRule>
    <cfRule type="expression" priority="2" dxfId="2">
      <formula>ROUND($C$23,2)=0</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2026-09-13T17:23:44Z</dcterms:created>
  <dcterms:modified xsi:type="dcterms:W3CDTF">2026-09-13T17:23:44Z</dcterms:modified>
</cp:coreProperties>
</file>