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his works" sheetId="1" state="visible" r:id="rId1"/>
    <sheet name="Data" sheetId="2" state="visible" r:id="rId2"/>
    <sheet name="Calc" sheetId="3" state="visible" r:id="rId3"/>
    <sheet name="Dashboard" sheetId="4" state="visible" r:id="rId4"/>
  </sheets>
  <definedNames>
    <definedName name="_xlnm._FilterDatabase" localSheetId="1" hidden="1">'Data'!$A$1:$E$128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 yyyy"/>
    <numFmt numFmtId="166" formatCode="#,##0.00;[Red]-#,##0.00"/>
    <numFmt numFmtId="167" formatCode="0.0%"/>
    <numFmt numFmtId="168" formatCode="$#,##0"/>
    <numFmt numFmtId="169" formatCode="$#,##0;[Red]-$#,##0"/>
  </numFmts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A2E"/>
      <sz val="13"/>
    </font>
    <font>
      <i val="1"/>
      <color rgb="0066787C"/>
      <sz val="10"/>
    </font>
    <font>
      <b val="1"/>
      <color rgb="000E6153"/>
      <sz val="11"/>
    </font>
    <font>
      <b val="1"/>
    </font>
    <font>
      <b val="1"/>
      <color rgb="001F2A2E"/>
      <sz val="18"/>
    </font>
    <font>
      <b val="1"/>
      <color rgb="0066787C"/>
      <sz val="9"/>
    </font>
    <font>
      <b val="1"/>
      <color rgb="000E6153"/>
      <sz val="20"/>
    </font>
    <font>
      <b val="1"/>
      <color rgb="001F2A2E"/>
      <sz val="12"/>
    </font>
    <font>
      <b val="1"/>
      <color rgb="00FFFFFF"/>
    </font>
    <font>
      <b val="1"/>
      <color rgb="001F2A2E"/>
      <sz val="16"/>
    </font>
    <font>
      <color rgb="001F2A2E"/>
      <sz val="10.5"/>
    </font>
    <font>
      <b val="1"/>
      <color rgb="000E6153"/>
      <sz val="12"/>
    </font>
  </fonts>
  <fills count="4">
    <fill>
      <patternFill/>
    </fill>
    <fill>
      <patternFill patternType="gray125"/>
    </fill>
    <fill>
      <patternFill patternType="solid">
        <fgColor rgb="000E6153"/>
      </patternFill>
    </fill>
    <fill>
      <patternFill patternType="solid">
        <fgColor rgb="00FFF6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1" fillId="0" borderId="0" pivotButton="0" quotePrefix="0" xfId="0"/>
    <xf numFmtId="0" fontId="3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4" fontId="5" fillId="0" borderId="0" pivotButton="0" quotePrefix="0" xfId="0"/>
    <xf numFmtId="4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8" fontId="8" fillId="0" borderId="0" pivotButton="0" quotePrefix="0" xfId="0"/>
    <xf numFmtId="169" fontId="8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C0392B"/>
      </font>
      <fill>
        <patternFill patternType="solid">
          <fgColor rgb="00FBE9E7"/>
        </patternFill>
      </fill>
    </dxf>
    <dxf>
      <font>
        <color rgb="001E6B4F"/>
      </font>
      <fill>
        <patternFill patternType="solid">
          <fgColor rgb="00E8F3EF"/>
        </patternFill>
      </fill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spend by month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'Calc'!$B$5:$G$5</f>
            </numRef>
          </cat>
          <val>
            <numRef>
              <f>'Calc'!$B$14:$G$14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vs budget by category (YTD)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'Dashboard'!$B$11:$B$18</f>
            </numRef>
          </cat>
          <val>
            <numRef>
              <f>'Dashboard'!$C$11:$C$18</f>
            </numRef>
          </val>
        </ser>
        <ser>
          <idx val="1"/>
          <order val="1"/>
          <tx>
            <strRef>
              <f>'Dashboard'!D10</f>
            </strRef>
          </tx>
          <spPr>
            <a:ln>
              <a:prstDash val="solid"/>
            </a:ln>
          </spPr>
          <cat>
            <numRef>
              <f>'Dashboard'!$B$11:$B$18</f>
            </numRef>
          </cat>
          <val>
            <numRef>
              <f>'Dashboard'!$D$11:$D$18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105" customWidth="1" min="2" max="2"/>
  </cols>
  <sheetData>
    <row r="2">
      <c r="B2" s="1" t="inlineStr">
        <is>
          <t>Client Reporting Dashboard - design notes</t>
        </is>
      </c>
    </row>
    <row r="3">
      <c r="B3" s="2" t="inlineStr">
        <is>
          <t>Timothy Ting | work sample | built 2026-09-01</t>
        </is>
      </c>
    </row>
    <row r="4">
      <c r="B4" s="3" t="inlineStr"/>
    </row>
    <row r="5">
      <c r="B5" s="4" t="inlineStr">
        <is>
          <t>The problem this solves</t>
        </is>
      </c>
    </row>
    <row r="6">
      <c r="B6" s="3" t="inlineStr">
        <is>
          <t>A consultant was tracking expenses in one flat spreadsheet and rebuilding the monthly summary by hand each time. It took about two hours a month, and the totals disagreed with the bank more often than not.</t>
        </is>
      </c>
    </row>
    <row r="7">
      <c r="B7" s="3" t="inlineStr"/>
    </row>
    <row r="8">
      <c r="B8" s="4" t="inlineStr">
        <is>
          <t>Why three tabs instead of one</t>
        </is>
      </c>
    </row>
    <row r="9">
      <c r="B9" s="3" t="inlineStr">
        <is>
          <t>Data / Calc / Dashboard are separated so the person entering data and the person reading the report never touch the same cells.</t>
        </is>
      </c>
    </row>
    <row r="10">
      <c r="B10" s="3" t="inlineStr">
        <is>
          <t xml:space="preserve">   Data - append-only. Paste a new export at the bottom. Nothing else.</t>
        </is>
      </c>
    </row>
    <row r="11">
      <c r="B11" s="3" t="inlineStr">
        <is>
          <t xml:space="preserve">   Calc - every number is a formula. The budget block is the only typed input, and it is shaded so that is obvious.</t>
        </is>
      </c>
    </row>
    <row r="12">
      <c r="B12" s="3" t="inlineStr">
        <is>
          <t xml:space="preserve">   Dashboard - reads from Calc only. It contains no calculations of its own.</t>
        </is>
      </c>
    </row>
    <row r="13">
      <c r="B13" s="3" t="inlineStr"/>
    </row>
    <row r="14">
      <c r="B14" s="4" t="inlineStr">
        <is>
          <t>The part that actually matters</t>
        </is>
      </c>
    </row>
    <row r="15">
      <c r="B15" s="3" t="inlineStr">
        <is>
          <t>Calc references Data by WHOLE COLUMN (Data!$E:$E), never by a fixed range like E2:E150.</t>
        </is>
      </c>
    </row>
    <row r="16">
      <c r="B16" s="3" t="inlineStr">
        <is>
          <t>That single choice is why a re-import cannot break this file. Add 10 rows or 10,000 - every rollup picks them up with no formula edits. The usual failure mode for a client spreadsheet is someone pasting fresh data past the end of a hardcoded range, and then quietly reporting the wrong number for a month.</t>
        </is>
      </c>
    </row>
    <row r="17">
      <c r="B17" s="3" t="inlineStr"/>
    </row>
    <row r="18">
      <c r="B18" s="4" t="inlineStr">
        <is>
          <t>Functions used, and why</t>
        </is>
      </c>
    </row>
    <row r="19">
      <c r="B19" s="3" t="inlineStr">
        <is>
          <t xml:space="preserve">   SUMIFS + EOMONTH - one formula handles the month boundary. No helper 'Month' column to maintain, and nothing to go stale when the year rolls over.</t>
        </is>
      </c>
    </row>
    <row r="20">
      <c r="B20" s="3" t="inlineStr">
        <is>
          <t xml:space="preserve">   Data validation (dropdown on Category) - prevents the mess rather than cleaning it up later. 'Marketing', 'marketing' and 'Marketing ' are three categories to SUMIFS and one category to a human.</t>
        </is>
      </c>
    </row>
    <row r="21">
      <c r="B21" s="3" t="inlineStr">
        <is>
          <t xml:space="preserve">   Conditional formatting - flags overruns automatically, so nobody has to read every row.</t>
        </is>
      </c>
    </row>
    <row r="22">
      <c r="B22" s="3" t="inlineStr">
        <is>
          <t xml:space="preserve">   IFERROR on the variance % - a category with a zero budget shows 0%, not #DIV/0!.</t>
        </is>
      </c>
    </row>
    <row r="23">
      <c r="B23" s="3" t="inlineStr"/>
    </row>
    <row r="24">
      <c r="B24" s="4" t="inlineStr">
        <is>
          <t>What I would add next</t>
        </is>
      </c>
    </row>
    <row r="25">
      <c r="B25" s="3" t="inlineStr">
        <is>
          <t xml:space="preserve">   Protected ranges on Calc and Dashboard, so only Data is editable by the client.</t>
        </is>
      </c>
    </row>
    <row r="26">
      <c r="B26" s="3" t="inlineStr">
        <is>
          <t xml:space="preserve">   A QUERY-driven vendor breakdown for the top 10 suppliers by spend.</t>
        </is>
      </c>
    </row>
    <row r="27">
      <c r="B27" s="3" t="inlineStr">
        <is>
          <t xml:space="preserve">   A scheduled Apps Script to email the dashboard as a PDF on the 1st of each month.</t>
        </is>
      </c>
    </row>
    <row r="28">
      <c r="B28" s="3" t="inlineStr"/>
    </row>
    <row r="29">
      <c r="B29" s="4" t="inlineStr">
        <is>
          <t>Honest note</t>
        </is>
      </c>
    </row>
    <row r="30">
      <c r="B30" s="3" t="inlineStr">
        <is>
          <t>The transaction data is synthetic - generated for this sample, not a real client's books. The structure, formulas and design decisions are exactly what I would ship.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34" customWidth="1" min="4" max="4"/>
    <col width="14" customWidth="1" min="5" max="5"/>
  </cols>
  <sheetData>
    <row r="1">
      <c r="A1" s="5" t="inlineStr">
        <is>
          <t>Date</t>
        </is>
      </c>
      <c r="B1" s="5" t="inlineStr">
        <is>
          <t>Category</t>
        </is>
      </c>
      <c r="C1" s="5" t="inlineStr">
        <is>
          <t>Vendor</t>
        </is>
      </c>
      <c r="D1" s="5" t="inlineStr">
        <is>
          <t>Description</t>
        </is>
      </c>
      <c r="E1" s="5" t="inlineStr">
        <is>
          <t>Amount (USD)</t>
        </is>
      </c>
    </row>
    <row r="2">
      <c r="A2" s="6" t="n">
        <v>46023</v>
      </c>
      <c r="B2" t="inlineStr">
        <is>
          <t>Software &amp; Subscriptions</t>
        </is>
      </c>
      <c r="C2" t="inlineStr">
        <is>
          <t>Google Workspace</t>
        </is>
      </c>
      <c r="D2" t="inlineStr">
        <is>
          <t>Project - software</t>
        </is>
      </c>
      <c r="E2" s="7" t="n">
        <v>257.19</v>
      </c>
    </row>
    <row r="3">
      <c r="A3" s="6" t="n">
        <v>46026</v>
      </c>
      <c r="B3" t="inlineStr">
        <is>
          <t>Contractors</t>
        </is>
      </c>
      <c r="C3" t="inlineStr">
        <is>
          <t>J. Alvarez (design)</t>
        </is>
      </c>
      <c r="D3" t="inlineStr">
        <is>
          <t>Renewal - contractors</t>
        </is>
      </c>
      <c r="E3" s="7" t="n">
        <v>1136.02</v>
      </c>
    </row>
    <row r="4">
      <c r="A4" s="6" t="n">
        <v>46026</v>
      </c>
      <c r="B4" t="inlineStr">
        <is>
          <t>Travel</t>
        </is>
      </c>
      <c r="C4" t="inlineStr">
        <is>
          <t>Grab</t>
        </is>
      </c>
      <c r="D4" t="inlineStr">
        <is>
          <t>Q2 - travel</t>
        </is>
      </c>
      <c r="E4" s="7" t="n">
        <v>136.03</v>
      </c>
    </row>
    <row r="5">
      <c r="A5" s="6" t="n">
        <v>46030</v>
      </c>
      <c r="B5" t="inlineStr">
        <is>
          <t>Training</t>
        </is>
      </c>
      <c r="C5" t="inlineStr">
        <is>
          <t>Coursera</t>
        </is>
      </c>
      <c r="D5" t="inlineStr">
        <is>
          <t>Project - training</t>
        </is>
      </c>
      <c r="E5" s="7" t="n">
        <v>17.82</v>
      </c>
    </row>
    <row r="6">
      <c r="A6" s="6" t="n">
        <v>46031</v>
      </c>
      <c r="B6" t="inlineStr">
        <is>
          <t>Software &amp; Subscriptions</t>
        </is>
      </c>
      <c r="C6" t="inlineStr">
        <is>
          <t>Slack</t>
        </is>
      </c>
      <c r="D6" t="inlineStr">
        <is>
          <t>Ad-hoc - software</t>
        </is>
      </c>
      <c r="E6" s="7" t="n">
        <v>191.69</v>
      </c>
    </row>
    <row r="7">
      <c r="A7" s="6" t="n">
        <v>46031</v>
      </c>
      <c r="B7" t="inlineStr">
        <is>
          <t>Office &amp; Supplies</t>
        </is>
      </c>
      <c r="C7" t="inlineStr">
        <is>
          <t>National Bookstore</t>
        </is>
      </c>
      <c r="D7" t="inlineStr">
        <is>
          <t>Project - office</t>
        </is>
      </c>
      <c r="E7" s="7" t="n">
        <v>80.8</v>
      </c>
    </row>
    <row r="8">
      <c r="A8" s="6" t="n">
        <v>46031</v>
      </c>
      <c r="B8" t="inlineStr">
        <is>
          <t>Bank &amp; Payment Fees</t>
        </is>
      </c>
      <c r="C8" t="inlineStr">
        <is>
          <t>PayPal</t>
        </is>
      </c>
      <c r="D8" t="inlineStr">
        <is>
          <t>Renewal - bank</t>
        </is>
      </c>
      <c r="E8" s="7" t="n">
        <v>59.04</v>
      </c>
    </row>
    <row r="9">
      <c r="A9" s="6" t="n">
        <v>46032</v>
      </c>
      <c r="B9" t="inlineStr">
        <is>
          <t>Software &amp; Subscriptions</t>
        </is>
      </c>
      <c r="C9" t="inlineStr">
        <is>
          <t>Slack</t>
        </is>
      </c>
      <c r="D9" t="inlineStr">
        <is>
          <t>Q2 - software</t>
        </is>
      </c>
      <c r="E9" s="7" t="n">
        <v>195.28</v>
      </c>
    </row>
    <row r="10">
      <c r="A10" s="6" t="n">
        <v>46033</v>
      </c>
      <c r="B10" t="inlineStr">
        <is>
          <t>Software &amp; Subscriptions</t>
        </is>
      </c>
      <c r="C10" t="inlineStr">
        <is>
          <t>Google Workspace</t>
        </is>
      </c>
      <c r="D10" t="inlineStr">
        <is>
          <t>Ad-hoc - software</t>
        </is>
      </c>
      <c r="E10" s="7" t="n">
        <v>113.1</v>
      </c>
    </row>
    <row r="11">
      <c r="A11" s="6" t="n">
        <v>46035</v>
      </c>
      <c r="B11" t="inlineStr">
        <is>
          <t>Travel</t>
        </is>
      </c>
      <c r="C11" t="inlineStr">
        <is>
          <t>Grab</t>
        </is>
      </c>
      <c r="D11" t="inlineStr">
        <is>
          <t>Monthly - travel</t>
        </is>
      </c>
      <c r="E11" s="7" t="n">
        <v>187.87</v>
      </c>
    </row>
    <row r="12">
      <c r="A12" s="6" t="n">
        <v>46035</v>
      </c>
      <c r="B12" t="inlineStr">
        <is>
          <t>Office &amp; Supplies</t>
        </is>
      </c>
      <c r="C12" t="inlineStr">
        <is>
          <t>Lazada</t>
        </is>
      </c>
      <c r="D12" t="inlineStr">
        <is>
          <t>Q2 - office</t>
        </is>
      </c>
      <c r="E12" s="7" t="n">
        <v>31.48</v>
      </c>
    </row>
    <row r="13">
      <c r="A13" s="6" t="n">
        <v>46035</v>
      </c>
      <c r="B13" t="inlineStr">
        <is>
          <t>Bank &amp; Payment Fees</t>
        </is>
      </c>
      <c r="C13" t="inlineStr">
        <is>
          <t>Wise</t>
        </is>
      </c>
      <c r="D13" t="inlineStr">
        <is>
          <t>Ad-hoc - bank</t>
        </is>
      </c>
      <c r="E13" s="7" t="n">
        <v>48.98</v>
      </c>
    </row>
    <row r="14">
      <c r="A14" s="6" t="n">
        <v>46036</v>
      </c>
      <c r="B14" t="inlineStr">
        <is>
          <t>Travel</t>
        </is>
      </c>
      <c r="C14" t="inlineStr">
        <is>
          <t>Shell</t>
        </is>
      </c>
      <c r="D14" t="inlineStr">
        <is>
          <t>Renewal - travel</t>
        </is>
      </c>
      <c r="E14" s="7" t="n">
        <v>96.48999999999999</v>
      </c>
    </row>
    <row r="15">
      <c r="A15" s="6" t="n">
        <v>46037</v>
      </c>
      <c r="B15" t="inlineStr">
        <is>
          <t>Marketing</t>
        </is>
      </c>
      <c r="C15" t="inlineStr">
        <is>
          <t>Meta Ads</t>
        </is>
      </c>
      <c r="D15" t="inlineStr">
        <is>
          <t>Monthly - marketing</t>
        </is>
      </c>
      <c r="E15" s="7" t="n">
        <v>442.86</v>
      </c>
    </row>
    <row r="16">
      <c r="A16" s="6" t="n">
        <v>46039</v>
      </c>
      <c r="B16" t="inlineStr">
        <is>
          <t>Marketing</t>
        </is>
      </c>
      <c r="C16" t="inlineStr">
        <is>
          <t>LinkedIn Ads</t>
        </is>
      </c>
      <c r="D16" t="inlineStr">
        <is>
          <t>Ad-hoc - marketing</t>
        </is>
      </c>
      <c r="E16" s="7" t="n">
        <v>281.53</v>
      </c>
    </row>
    <row r="17">
      <c r="A17" s="6" t="n">
        <v>46039</v>
      </c>
      <c r="B17" t="inlineStr">
        <is>
          <t>Office &amp; Supplies</t>
        </is>
      </c>
      <c r="C17" t="inlineStr">
        <is>
          <t>Lazada</t>
        </is>
      </c>
      <c r="D17" t="inlineStr">
        <is>
          <t>Renewal - office</t>
        </is>
      </c>
      <c r="E17" s="7" t="n">
        <v>65.15000000000001</v>
      </c>
    </row>
    <row r="18">
      <c r="A18" s="6" t="n">
        <v>46041</v>
      </c>
      <c r="B18" t="inlineStr">
        <is>
          <t>Bank &amp; Payment Fees</t>
        </is>
      </c>
      <c r="C18" t="inlineStr">
        <is>
          <t>PayPal</t>
        </is>
      </c>
      <c r="D18" t="inlineStr">
        <is>
          <t>Ad-hoc - bank</t>
        </is>
      </c>
      <c r="E18" s="7" t="n">
        <v>45.65</v>
      </c>
    </row>
    <row r="19">
      <c r="A19" s="6" t="n">
        <v>46042</v>
      </c>
      <c r="B19" t="inlineStr">
        <is>
          <t>Marketing</t>
        </is>
      </c>
      <c r="C19" t="inlineStr">
        <is>
          <t>Meta Ads</t>
        </is>
      </c>
      <c r="D19" t="inlineStr">
        <is>
          <t>Monthly - marketing</t>
        </is>
      </c>
      <c r="E19" s="7" t="n">
        <v>584.66</v>
      </c>
    </row>
    <row r="20">
      <c r="A20" s="6" t="n">
        <v>46042</v>
      </c>
      <c r="B20" t="inlineStr">
        <is>
          <t>Professional Fees</t>
        </is>
      </c>
      <c r="C20" t="inlineStr">
        <is>
          <t>Legal retainer</t>
        </is>
      </c>
      <c r="D20" t="inlineStr">
        <is>
          <t>Ad-hoc - professional</t>
        </is>
      </c>
      <c r="E20" s="7" t="n">
        <v>41.06</v>
      </c>
    </row>
    <row r="21">
      <c r="A21" s="6" t="n">
        <v>46043</v>
      </c>
      <c r="B21" t="inlineStr">
        <is>
          <t>Professional Fees</t>
        </is>
      </c>
      <c r="C21" t="inlineStr">
        <is>
          <t>Cruz &amp; Co (accounting)</t>
        </is>
      </c>
      <c r="D21" t="inlineStr">
        <is>
          <t>Renewal - professional</t>
        </is>
      </c>
      <c r="E21" s="7" t="n">
        <v>147.4</v>
      </c>
    </row>
    <row r="22">
      <c r="A22" s="6" t="n">
        <v>46045</v>
      </c>
      <c r="B22" t="inlineStr">
        <is>
          <t>Professional Fees</t>
        </is>
      </c>
      <c r="C22" t="inlineStr">
        <is>
          <t>Legal retainer</t>
        </is>
      </c>
      <c r="D22" t="inlineStr">
        <is>
          <t>Renewal - professional</t>
        </is>
      </c>
      <c r="E22" s="7" t="n">
        <v>192.33</v>
      </c>
    </row>
    <row r="23">
      <c r="A23" s="6" t="n">
        <v>46046</v>
      </c>
      <c r="B23" t="inlineStr">
        <is>
          <t>Training</t>
        </is>
      </c>
      <c r="C23" t="inlineStr">
        <is>
          <t>Coursera</t>
        </is>
      </c>
      <c r="D23" t="inlineStr">
        <is>
          <t>Renewal - training</t>
        </is>
      </c>
      <c r="E23" s="7" t="n">
        <v>79.05</v>
      </c>
    </row>
    <row r="24">
      <c r="A24" s="6" t="n">
        <v>46047</v>
      </c>
      <c r="B24" t="inlineStr">
        <is>
          <t>Contractors</t>
        </is>
      </c>
      <c r="C24" t="inlineStr">
        <is>
          <t>K. Santos (VA)</t>
        </is>
      </c>
      <c r="D24" t="inlineStr">
        <is>
          <t>Project - contractors</t>
        </is>
      </c>
      <c r="E24" s="7" t="n">
        <v>1276.68</v>
      </c>
    </row>
    <row r="25">
      <c r="A25" s="6" t="n">
        <v>46047</v>
      </c>
      <c r="B25" t="inlineStr">
        <is>
          <t>Training</t>
        </is>
      </c>
      <c r="C25" t="inlineStr">
        <is>
          <t>Maven</t>
        </is>
      </c>
      <c r="D25" t="inlineStr">
        <is>
          <t>Renewal - training</t>
        </is>
      </c>
      <c r="E25" s="7" t="n">
        <v>55.43</v>
      </c>
    </row>
    <row r="26">
      <c r="A26" s="6" t="n">
        <v>46048</v>
      </c>
      <c r="B26" t="inlineStr">
        <is>
          <t>Marketing</t>
        </is>
      </c>
      <c r="C26" t="inlineStr">
        <is>
          <t>Google Ads</t>
        </is>
      </c>
      <c r="D26" t="inlineStr">
        <is>
          <t>Renewal - marketing</t>
        </is>
      </c>
      <c r="E26" s="7" t="n">
        <v>217.09</v>
      </c>
    </row>
    <row r="27">
      <c r="A27" s="6" t="n">
        <v>46055</v>
      </c>
      <c r="B27" t="inlineStr">
        <is>
          <t>Travel</t>
        </is>
      </c>
      <c r="C27" t="inlineStr">
        <is>
          <t>Airbnb</t>
        </is>
      </c>
      <c r="D27" t="inlineStr">
        <is>
          <t>Monthly - travel</t>
        </is>
      </c>
      <c r="E27" s="7" t="n">
        <v>186.32</v>
      </c>
    </row>
    <row r="28">
      <c r="A28" s="6" t="n">
        <v>46056</v>
      </c>
      <c r="B28" t="inlineStr">
        <is>
          <t>Contractors</t>
        </is>
      </c>
      <c r="C28" t="inlineStr">
        <is>
          <t>Bright Dev Studio</t>
        </is>
      </c>
      <c r="D28" t="inlineStr">
        <is>
          <t>Q2 - contractors</t>
        </is>
      </c>
      <c r="E28" s="7" t="n">
        <v>442.08</v>
      </c>
    </row>
    <row r="29">
      <c r="A29" s="6" t="n">
        <v>46056</v>
      </c>
      <c r="B29" t="inlineStr">
        <is>
          <t>Office &amp; Supplies</t>
        </is>
      </c>
      <c r="C29" t="inlineStr">
        <is>
          <t>National Bookstore</t>
        </is>
      </c>
      <c r="D29" t="inlineStr">
        <is>
          <t>Monthly - office</t>
        </is>
      </c>
      <c r="E29" s="7" t="n">
        <v>34.58</v>
      </c>
    </row>
    <row r="30">
      <c r="A30" s="6" t="n">
        <v>46056</v>
      </c>
      <c r="B30" t="inlineStr">
        <is>
          <t>Bank &amp; Payment Fees</t>
        </is>
      </c>
      <c r="C30" t="inlineStr">
        <is>
          <t>BPI</t>
        </is>
      </c>
      <c r="D30" t="inlineStr">
        <is>
          <t>Project - bank</t>
        </is>
      </c>
      <c r="E30" s="7" t="n">
        <v>27.49</v>
      </c>
    </row>
    <row r="31">
      <c r="A31" s="6" t="n">
        <v>46060</v>
      </c>
      <c r="B31" t="inlineStr">
        <is>
          <t>Travel</t>
        </is>
      </c>
      <c r="C31" t="inlineStr">
        <is>
          <t>Airbnb</t>
        </is>
      </c>
      <c r="D31" t="inlineStr">
        <is>
          <t>Renewal - travel</t>
        </is>
      </c>
      <c r="E31" s="7" t="n">
        <v>167.13</v>
      </c>
    </row>
    <row r="32">
      <c r="A32" s="6" t="n">
        <v>46061</v>
      </c>
      <c r="B32" t="inlineStr">
        <is>
          <t>Software &amp; Subscriptions</t>
        </is>
      </c>
      <c r="C32" t="inlineStr">
        <is>
          <t>Zoom</t>
        </is>
      </c>
      <c r="D32" t="inlineStr">
        <is>
          <t>Renewal - software</t>
        </is>
      </c>
      <c r="E32" s="7" t="n">
        <v>86.18000000000001</v>
      </c>
    </row>
    <row r="33">
      <c r="A33" s="6" t="n">
        <v>46061</v>
      </c>
      <c r="B33" t="inlineStr">
        <is>
          <t>Marketing</t>
        </is>
      </c>
      <c r="C33" t="inlineStr">
        <is>
          <t>Google Ads</t>
        </is>
      </c>
      <c r="D33" t="inlineStr">
        <is>
          <t>Q2 - marketing</t>
        </is>
      </c>
      <c r="E33" s="7" t="n">
        <v>197.36</v>
      </c>
    </row>
    <row r="34">
      <c r="A34" s="6" t="n">
        <v>46062</v>
      </c>
      <c r="B34" t="inlineStr">
        <is>
          <t>Contractors</t>
        </is>
      </c>
      <c r="C34" t="inlineStr">
        <is>
          <t>Bright Dev Studio</t>
        </is>
      </c>
      <c r="D34" t="inlineStr">
        <is>
          <t>Ad-hoc - contractors</t>
        </is>
      </c>
      <c r="E34" s="7" t="n">
        <v>835.09</v>
      </c>
    </row>
    <row r="35">
      <c r="A35" s="6" t="n">
        <v>46063</v>
      </c>
      <c r="B35" t="inlineStr">
        <is>
          <t>Software &amp; Subscriptions</t>
        </is>
      </c>
      <c r="C35" t="inlineStr">
        <is>
          <t>Slack</t>
        </is>
      </c>
      <c r="D35" t="inlineStr">
        <is>
          <t>Monthly - software</t>
        </is>
      </c>
      <c r="E35" s="7" t="n">
        <v>69.11</v>
      </c>
    </row>
    <row r="36">
      <c r="A36" s="6" t="n">
        <v>46066</v>
      </c>
      <c r="B36" t="inlineStr">
        <is>
          <t>Bank &amp; Payment Fees</t>
        </is>
      </c>
      <c r="C36" t="inlineStr">
        <is>
          <t>BPI</t>
        </is>
      </c>
      <c r="D36" t="inlineStr">
        <is>
          <t>Ad-hoc - bank</t>
        </is>
      </c>
      <c r="E36" s="7" t="n">
        <v>22.36</v>
      </c>
    </row>
    <row r="37">
      <c r="A37" s="6" t="n">
        <v>46066</v>
      </c>
      <c r="B37" t="inlineStr">
        <is>
          <t>Bank &amp; Payment Fees</t>
        </is>
      </c>
      <c r="C37" t="inlineStr">
        <is>
          <t>Stripe</t>
        </is>
      </c>
      <c r="D37" t="inlineStr">
        <is>
          <t>Project - bank</t>
        </is>
      </c>
      <c r="E37" s="7" t="n">
        <v>19.28</v>
      </c>
    </row>
    <row r="38">
      <c r="A38" s="6" t="n">
        <v>46067</v>
      </c>
      <c r="B38" t="inlineStr">
        <is>
          <t>Professional Fees</t>
        </is>
      </c>
      <c r="C38" t="inlineStr">
        <is>
          <t>Legal retainer</t>
        </is>
      </c>
      <c r="D38" t="inlineStr">
        <is>
          <t>Q2 - professional</t>
        </is>
      </c>
      <c r="E38" s="7" t="n">
        <v>66</v>
      </c>
    </row>
    <row r="39">
      <c r="A39" s="6" t="n">
        <v>46069</v>
      </c>
      <c r="B39" t="inlineStr">
        <is>
          <t>Software &amp; Subscriptions</t>
        </is>
      </c>
      <c r="C39" t="inlineStr">
        <is>
          <t>Canva Pro</t>
        </is>
      </c>
      <c r="D39" t="inlineStr">
        <is>
          <t>Monthly - software</t>
        </is>
      </c>
      <c r="E39" s="7" t="n">
        <v>160.74</v>
      </c>
    </row>
    <row r="40">
      <c r="A40" s="6" t="n">
        <v>46069</v>
      </c>
      <c r="B40" t="inlineStr">
        <is>
          <t>Contractors</t>
        </is>
      </c>
      <c r="C40" t="inlineStr">
        <is>
          <t>M. Reyes (copy)</t>
        </is>
      </c>
      <c r="D40" t="inlineStr">
        <is>
          <t>Ad-hoc - contractors</t>
        </is>
      </c>
      <c r="E40" s="7" t="n">
        <v>968.9</v>
      </c>
    </row>
    <row r="41">
      <c r="A41" s="6" t="n">
        <v>46069</v>
      </c>
      <c r="B41" t="inlineStr">
        <is>
          <t>Travel</t>
        </is>
      </c>
      <c r="C41" t="inlineStr">
        <is>
          <t>Airbnb</t>
        </is>
      </c>
      <c r="D41" t="inlineStr">
        <is>
          <t>Project - travel</t>
        </is>
      </c>
      <c r="E41" s="7" t="n">
        <v>281.09</v>
      </c>
    </row>
    <row r="42">
      <c r="A42" s="6" t="n">
        <v>46069</v>
      </c>
      <c r="B42" t="inlineStr">
        <is>
          <t>Professional Fees</t>
        </is>
      </c>
      <c r="C42" t="inlineStr">
        <is>
          <t>Cruz &amp; Co (accounting)</t>
        </is>
      </c>
      <c r="D42" t="inlineStr">
        <is>
          <t>Q2 - professional</t>
        </is>
      </c>
      <c r="E42" s="7" t="n">
        <v>172.45</v>
      </c>
    </row>
    <row r="43">
      <c r="A43" s="6" t="n">
        <v>46069</v>
      </c>
      <c r="B43" t="inlineStr">
        <is>
          <t>Training</t>
        </is>
      </c>
      <c r="C43" t="inlineStr">
        <is>
          <t>Udemy</t>
        </is>
      </c>
      <c r="D43" t="inlineStr">
        <is>
          <t>Project - training</t>
        </is>
      </c>
      <c r="E43" s="7" t="n">
        <v>37.31</v>
      </c>
    </row>
    <row r="44">
      <c r="A44" s="6" t="n">
        <v>46071</v>
      </c>
      <c r="B44" t="inlineStr">
        <is>
          <t>Office &amp; Supplies</t>
        </is>
      </c>
      <c r="C44" t="inlineStr">
        <is>
          <t>National Bookstore</t>
        </is>
      </c>
      <c r="D44" t="inlineStr">
        <is>
          <t>Q2 - office</t>
        </is>
      </c>
      <c r="E44" s="7" t="n">
        <v>60.03</v>
      </c>
    </row>
    <row r="45">
      <c r="A45" s="6" t="n">
        <v>46072</v>
      </c>
      <c r="B45" t="inlineStr">
        <is>
          <t>Software &amp; Subscriptions</t>
        </is>
      </c>
      <c r="C45" t="inlineStr">
        <is>
          <t>Slack</t>
        </is>
      </c>
      <c r="D45" t="inlineStr">
        <is>
          <t>Ad-hoc - software</t>
        </is>
      </c>
      <c r="E45" s="7" t="n">
        <v>157.18</v>
      </c>
    </row>
    <row r="46">
      <c r="A46" s="6" t="n">
        <v>46074</v>
      </c>
      <c r="B46" t="inlineStr">
        <is>
          <t>Travel</t>
        </is>
      </c>
      <c r="C46" t="inlineStr">
        <is>
          <t>Airbnb</t>
        </is>
      </c>
      <c r="D46" t="inlineStr">
        <is>
          <t>Project - travel</t>
        </is>
      </c>
      <c r="E46" s="7" t="n">
        <v>143.43</v>
      </c>
    </row>
    <row r="47">
      <c r="A47" s="6" t="n">
        <v>46074</v>
      </c>
      <c r="B47" t="inlineStr">
        <is>
          <t>Professional Fees</t>
        </is>
      </c>
      <c r="C47" t="inlineStr">
        <is>
          <t>Cruz &amp; Co (accounting)</t>
        </is>
      </c>
      <c r="D47" t="inlineStr">
        <is>
          <t>Q2 - professional</t>
        </is>
      </c>
      <c r="E47" s="7" t="n">
        <v>124.83</v>
      </c>
    </row>
    <row r="48">
      <c r="A48" s="6" t="n">
        <v>46079</v>
      </c>
      <c r="B48" t="inlineStr">
        <is>
          <t>Training</t>
        </is>
      </c>
      <c r="C48" t="inlineStr">
        <is>
          <t>Coursera</t>
        </is>
      </c>
      <c r="D48" t="inlineStr">
        <is>
          <t>Q2 - training</t>
        </is>
      </c>
      <c r="E48" s="7" t="n">
        <v>90.93000000000001</v>
      </c>
    </row>
    <row r="49">
      <c r="A49" s="6" t="n">
        <v>46080</v>
      </c>
      <c r="B49" t="inlineStr">
        <is>
          <t>Contractors</t>
        </is>
      </c>
      <c r="C49" t="inlineStr">
        <is>
          <t>Bright Dev Studio</t>
        </is>
      </c>
      <c r="D49" t="inlineStr">
        <is>
          <t>Monthly - contractors</t>
        </is>
      </c>
      <c r="E49" s="7" t="n">
        <v>433.28</v>
      </c>
    </row>
    <row r="50">
      <c r="A50" s="6" t="n">
        <v>46080</v>
      </c>
      <c r="B50" t="inlineStr">
        <is>
          <t>Training</t>
        </is>
      </c>
      <c r="C50" t="inlineStr">
        <is>
          <t>Maven</t>
        </is>
      </c>
      <c r="D50" t="inlineStr">
        <is>
          <t>Monthly - training</t>
        </is>
      </c>
      <c r="E50" s="7" t="n">
        <v>75.69</v>
      </c>
    </row>
    <row r="51">
      <c r="A51" s="6" t="n">
        <v>46082</v>
      </c>
      <c r="B51" t="inlineStr">
        <is>
          <t>Office &amp; Supplies</t>
        </is>
      </c>
      <c r="C51" t="inlineStr">
        <is>
          <t>Lazada</t>
        </is>
      </c>
      <c r="D51" t="inlineStr">
        <is>
          <t>Project - office</t>
        </is>
      </c>
      <c r="E51" s="7" t="n">
        <v>87.2</v>
      </c>
    </row>
    <row r="52">
      <c r="A52" s="6" t="n">
        <v>46083</v>
      </c>
      <c r="B52" t="inlineStr">
        <is>
          <t>Bank &amp; Payment Fees</t>
        </is>
      </c>
      <c r="C52" t="inlineStr">
        <is>
          <t>PayPal</t>
        </is>
      </c>
      <c r="D52" t="inlineStr">
        <is>
          <t>Ad-hoc - bank</t>
        </is>
      </c>
      <c r="E52" s="7" t="n">
        <v>10.87</v>
      </c>
    </row>
    <row r="53">
      <c r="A53" s="6" t="n">
        <v>46084</v>
      </c>
      <c r="B53" t="inlineStr">
        <is>
          <t>Bank &amp; Payment Fees</t>
        </is>
      </c>
      <c r="C53" t="inlineStr">
        <is>
          <t>Stripe</t>
        </is>
      </c>
      <c r="D53" t="inlineStr">
        <is>
          <t>Renewal - bank</t>
        </is>
      </c>
      <c r="E53" s="7" t="n">
        <v>22.5</v>
      </c>
    </row>
    <row r="54">
      <c r="A54" s="6" t="n">
        <v>46084</v>
      </c>
      <c r="B54" t="inlineStr">
        <is>
          <t>Bank &amp; Payment Fees</t>
        </is>
      </c>
      <c r="C54" t="inlineStr">
        <is>
          <t>Stripe</t>
        </is>
      </c>
      <c r="D54" t="inlineStr">
        <is>
          <t>Monthly - bank</t>
        </is>
      </c>
      <c r="E54" s="7" t="n">
        <v>38.68</v>
      </c>
    </row>
    <row r="55">
      <c r="A55" s="6" t="n">
        <v>46085</v>
      </c>
      <c r="B55" t="inlineStr">
        <is>
          <t>Software &amp; Subscriptions</t>
        </is>
      </c>
      <c r="C55" t="inlineStr">
        <is>
          <t>Adobe</t>
        </is>
      </c>
      <c r="D55" t="inlineStr">
        <is>
          <t>Project - software</t>
        </is>
      </c>
      <c r="E55" s="7" t="n">
        <v>142.84</v>
      </c>
    </row>
    <row r="56">
      <c r="A56" s="6" t="n">
        <v>46087</v>
      </c>
      <c r="B56" t="inlineStr">
        <is>
          <t>Marketing</t>
        </is>
      </c>
      <c r="C56" t="inlineStr">
        <is>
          <t>Meta Ads</t>
        </is>
      </c>
      <c r="D56" t="inlineStr">
        <is>
          <t>Monthly - marketing</t>
        </is>
      </c>
      <c r="E56" s="7" t="n">
        <v>204.22</v>
      </c>
    </row>
    <row r="57">
      <c r="A57" s="6" t="n">
        <v>46087</v>
      </c>
      <c r="B57" t="inlineStr">
        <is>
          <t>Travel</t>
        </is>
      </c>
      <c r="C57" t="inlineStr">
        <is>
          <t>Grab</t>
        </is>
      </c>
      <c r="D57" t="inlineStr">
        <is>
          <t>Renewal - travel</t>
        </is>
      </c>
      <c r="E57" s="7" t="n">
        <v>268.21</v>
      </c>
    </row>
    <row r="58">
      <c r="A58" s="6" t="n">
        <v>46088</v>
      </c>
      <c r="B58" t="inlineStr">
        <is>
          <t>Training</t>
        </is>
      </c>
      <c r="C58" t="inlineStr">
        <is>
          <t>Maven</t>
        </is>
      </c>
      <c r="D58" t="inlineStr">
        <is>
          <t>Project - training</t>
        </is>
      </c>
      <c r="E58" s="7" t="n">
        <v>63.34</v>
      </c>
    </row>
    <row r="59">
      <c r="A59" s="6" t="n">
        <v>46090</v>
      </c>
      <c r="B59" t="inlineStr">
        <is>
          <t>Contractors</t>
        </is>
      </c>
      <c r="C59" t="inlineStr">
        <is>
          <t>M. Reyes (copy)</t>
        </is>
      </c>
      <c r="D59" t="inlineStr">
        <is>
          <t>Project - contractors</t>
        </is>
      </c>
      <c r="E59" s="7" t="n">
        <v>1637.9</v>
      </c>
    </row>
    <row r="60">
      <c r="A60" s="6" t="n">
        <v>46090</v>
      </c>
      <c r="B60" t="inlineStr">
        <is>
          <t>Training</t>
        </is>
      </c>
      <c r="C60" t="inlineStr">
        <is>
          <t>Udemy</t>
        </is>
      </c>
      <c r="D60" t="inlineStr">
        <is>
          <t>Project - training</t>
        </is>
      </c>
      <c r="E60" s="7" t="n">
        <v>42.92</v>
      </c>
    </row>
    <row r="61">
      <c r="A61" s="6" t="n">
        <v>46092</v>
      </c>
      <c r="B61" t="inlineStr">
        <is>
          <t>Office &amp; Supplies</t>
        </is>
      </c>
      <c r="C61" t="inlineStr">
        <is>
          <t>National Bookstore</t>
        </is>
      </c>
      <c r="D61" t="inlineStr">
        <is>
          <t>Renewal - office</t>
        </is>
      </c>
      <c r="E61" s="7" t="n">
        <v>78.91</v>
      </c>
    </row>
    <row r="62">
      <c r="A62" s="6" t="n">
        <v>46093</v>
      </c>
      <c r="B62" t="inlineStr">
        <is>
          <t>Marketing</t>
        </is>
      </c>
      <c r="C62" t="inlineStr">
        <is>
          <t>Google Ads</t>
        </is>
      </c>
      <c r="D62" t="inlineStr">
        <is>
          <t>Monthly - marketing</t>
        </is>
      </c>
      <c r="E62" s="7" t="n">
        <v>366.99</v>
      </c>
    </row>
    <row r="63">
      <c r="A63" s="6" t="n">
        <v>46093</v>
      </c>
      <c r="B63" t="inlineStr">
        <is>
          <t>Marketing</t>
        </is>
      </c>
      <c r="C63" t="inlineStr">
        <is>
          <t>Mailchimp</t>
        </is>
      </c>
      <c r="D63" t="inlineStr">
        <is>
          <t>Ad-hoc - marketing</t>
        </is>
      </c>
      <c r="E63" s="7" t="n">
        <v>449.31</v>
      </c>
    </row>
    <row r="64">
      <c r="A64" s="6" t="n">
        <v>46093</v>
      </c>
      <c r="B64" t="inlineStr">
        <is>
          <t>Travel</t>
        </is>
      </c>
      <c r="C64" t="inlineStr">
        <is>
          <t>Grab</t>
        </is>
      </c>
      <c r="D64" t="inlineStr">
        <is>
          <t>Q2 - travel</t>
        </is>
      </c>
      <c r="E64" s="7" t="n">
        <v>119.19</v>
      </c>
    </row>
    <row r="65">
      <c r="A65" s="6" t="n">
        <v>46094</v>
      </c>
      <c r="B65" t="inlineStr">
        <is>
          <t>Travel</t>
        </is>
      </c>
      <c r="C65" t="inlineStr">
        <is>
          <t>Grab</t>
        </is>
      </c>
      <c r="D65" t="inlineStr">
        <is>
          <t>Project - travel</t>
        </is>
      </c>
      <c r="E65" s="7" t="n">
        <v>349.25</v>
      </c>
    </row>
    <row r="66">
      <c r="A66" s="6" t="n">
        <v>46096</v>
      </c>
      <c r="B66" t="inlineStr">
        <is>
          <t>Software &amp; Subscriptions</t>
        </is>
      </c>
      <c r="C66" t="inlineStr">
        <is>
          <t>Adobe</t>
        </is>
      </c>
      <c r="D66" t="inlineStr">
        <is>
          <t>Q2 - software</t>
        </is>
      </c>
      <c r="E66" s="7" t="n">
        <v>256.48</v>
      </c>
    </row>
    <row r="67">
      <c r="A67" s="6" t="n">
        <v>46098</v>
      </c>
      <c r="B67" t="inlineStr">
        <is>
          <t>Office &amp; Supplies</t>
        </is>
      </c>
      <c r="C67" t="inlineStr">
        <is>
          <t>National Bookstore</t>
        </is>
      </c>
      <c r="D67" t="inlineStr">
        <is>
          <t>Monthly - office</t>
        </is>
      </c>
      <c r="E67" s="7" t="n">
        <v>79.20999999999999</v>
      </c>
    </row>
    <row r="68">
      <c r="A68" s="6" t="n">
        <v>46098</v>
      </c>
      <c r="B68" t="inlineStr">
        <is>
          <t>Training</t>
        </is>
      </c>
      <c r="C68" t="inlineStr">
        <is>
          <t>Udemy</t>
        </is>
      </c>
      <c r="D68" t="inlineStr">
        <is>
          <t>Renewal - training</t>
        </is>
      </c>
      <c r="E68" s="7" t="n">
        <v>85.93000000000001</v>
      </c>
    </row>
    <row r="69">
      <c r="A69" s="6" t="n">
        <v>46099</v>
      </c>
      <c r="B69" t="inlineStr">
        <is>
          <t>Professional Fees</t>
        </is>
      </c>
      <c r="C69" t="inlineStr">
        <is>
          <t>Cruz &amp; Co (accounting)</t>
        </is>
      </c>
      <c r="D69" t="inlineStr">
        <is>
          <t>Renewal - professional</t>
        </is>
      </c>
      <c r="E69" s="7" t="n">
        <v>187</v>
      </c>
    </row>
    <row r="70">
      <c r="A70" s="6" t="n">
        <v>46100</v>
      </c>
      <c r="B70" t="inlineStr">
        <is>
          <t>Professional Fees</t>
        </is>
      </c>
      <c r="C70" t="inlineStr">
        <is>
          <t>Cruz &amp; Co (accounting)</t>
        </is>
      </c>
      <c r="D70" t="inlineStr">
        <is>
          <t>Project - professional</t>
        </is>
      </c>
      <c r="E70" s="7" t="n">
        <v>111.64</v>
      </c>
    </row>
    <row r="71">
      <c r="A71" s="6" t="n">
        <v>46100</v>
      </c>
      <c r="B71" t="inlineStr">
        <is>
          <t>Bank &amp; Payment Fees</t>
        </is>
      </c>
      <c r="C71" t="inlineStr">
        <is>
          <t>Wise</t>
        </is>
      </c>
      <c r="D71" t="inlineStr">
        <is>
          <t>Renewal - bank</t>
        </is>
      </c>
      <c r="E71" s="7" t="n">
        <v>28.5</v>
      </c>
    </row>
    <row r="72">
      <c r="A72" s="6" t="n">
        <v>46103</v>
      </c>
      <c r="B72" t="inlineStr">
        <is>
          <t>Training</t>
        </is>
      </c>
      <c r="C72" t="inlineStr">
        <is>
          <t>Udemy</t>
        </is>
      </c>
      <c r="D72" t="inlineStr">
        <is>
          <t>Q2 - training</t>
        </is>
      </c>
      <c r="E72" s="7" t="n">
        <v>38.58</v>
      </c>
    </row>
    <row r="73">
      <c r="A73" s="6" t="n">
        <v>46104</v>
      </c>
      <c r="B73" t="inlineStr">
        <is>
          <t>Travel</t>
        </is>
      </c>
      <c r="C73" t="inlineStr">
        <is>
          <t>Grab</t>
        </is>
      </c>
      <c r="D73" t="inlineStr">
        <is>
          <t>Q2 - travel</t>
        </is>
      </c>
      <c r="E73" s="7" t="n">
        <v>129.6</v>
      </c>
    </row>
    <row r="74">
      <c r="A74" s="6" t="n">
        <v>46106</v>
      </c>
      <c r="B74" t="inlineStr">
        <is>
          <t>Contractors</t>
        </is>
      </c>
      <c r="C74" t="inlineStr">
        <is>
          <t>J. Alvarez (design)</t>
        </is>
      </c>
      <c r="D74" t="inlineStr">
        <is>
          <t>Ad-hoc - contractors</t>
        </is>
      </c>
      <c r="E74" s="7" t="n">
        <v>1612.04</v>
      </c>
    </row>
    <row r="75">
      <c r="A75" s="6" t="n">
        <v>46107</v>
      </c>
      <c r="B75" t="inlineStr">
        <is>
          <t>Marketing</t>
        </is>
      </c>
      <c r="C75" t="inlineStr">
        <is>
          <t>Mailchimp</t>
        </is>
      </c>
      <c r="D75" t="inlineStr">
        <is>
          <t>Project - marketing</t>
        </is>
      </c>
      <c r="E75" s="7" t="n">
        <v>338.27</v>
      </c>
    </row>
    <row r="76">
      <c r="A76" s="6" t="n">
        <v>46115</v>
      </c>
      <c r="B76" t="inlineStr">
        <is>
          <t>Travel</t>
        </is>
      </c>
      <c r="C76" t="inlineStr">
        <is>
          <t>Cebu Pacific</t>
        </is>
      </c>
      <c r="D76" t="inlineStr">
        <is>
          <t>Project - travel</t>
        </is>
      </c>
      <c r="E76" s="7" t="n">
        <v>352.12</v>
      </c>
    </row>
    <row r="77">
      <c r="A77" s="6" t="n">
        <v>46117</v>
      </c>
      <c r="B77" t="inlineStr">
        <is>
          <t>Training</t>
        </is>
      </c>
      <c r="C77" t="inlineStr">
        <is>
          <t>Coursera</t>
        </is>
      </c>
      <c r="D77" t="inlineStr">
        <is>
          <t>Ad-hoc - training</t>
        </is>
      </c>
      <c r="E77" s="7" t="n">
        <v>60.76</v>
      </c>
    </row>
    <row r="78">
      <c r="A78" s="6" t="n">
        <v>46119</v>
      </c>
      <c r="B78" t="inlineStr">
        <is>
          <t>Software &amp; Subscriptions</t>
        </is>
      </c>
      <c r="C78" t="inlineStr">
        <is>
          <t>Adobe</t>
        </is>
      </c>
      <c r="D78" t="inlineStr">
        <is>
          <t>Renewal - software</t>
        </is>
      </c>
      <c r="E78" s="7" t="n">
        <v>155.82</v>
      </c>
    </row>
    <row r="79">
      <c r="A79" s="6" t="n">
        <v>46119</v>
      </c>
      <c r="B79" t="inlineStr">
        <is>
          <t>Software &amp; Subscriptions</t>
        </is>
      </c>
      <c r="C79" t="inlineStr">
        <is>
          <t>Slack</t>
        </is>
      </c>
      <c r="D79" t="inlineStr">
        <is>
          <t>Renewal - software</t>
        </is>
      </c>
      <c r="E79" s="7" t="n">
        <v>257.03</v>
      </c>
    </row>
    <row r="80">
      <c r="A80" s="6" t="n">
        <v>46120</v>
      </c>
      <c r="B80" t="inlineStr">
        <is>
          <t>Marketing</t>
        </is>
      </c>
      <c r="C80" t="inlineStr">
        <is>
          <t>Mailchimp</t>
        </is>
      </c>
      <c r="D80" t="inlineStr">
        <is>
          <t>Q2 - marketing</t>
        </is>
      </c>
      <c r="E80" s="7" t="n">
        <v>292.96</v>
      </c>
    </row>
    <row r="81">
      <c r="A81" s="6" t="n">
        <v>46125</v>
      </c>
      <c r="B81" t="inlineStr">
        <is>
          <t>Marketing</t>
        </is>
      </c>
      <c r="C81" t="inlineStr">
        <is>
          <t>Meta Ads</t>
        </is>
      </c>
      <c r="D81" t="inlineStr">
        <is>
          <t>Q2 - marketing</t>
        </is>
      </c>
      <c r="E81" s="7" t="n">
        <v>435.26</v>
      </c>
    </row>
    <row r="82">
      <c r="A82" s="6" t="n">
        <v>46126</v>
      </c>
      <c r="B82" t="inlineStr">
        <is>
          <t>Contractors</t>
        </is>
      </c>
      <c r="C82" t="inlineStr">
        <is>
          <t>Bright Dev Studio</t>
        </is>
      </c>
      <c r="D82" t="inlineStr">
        <is>
          <t>Renewal - contractors</t>
        </is>
      </c>
      <c r="E82" s="7" t="n">
        <v>1142.83</v>
      </c>
    </row>
    <row r="83">
      <c r="A83" s="6" t="n">
        <v>46128</v>
      </c>
      <c r="B83" t="inlineStr">
        <is>
          <t>Office &amp; Supplies</t>
        </is>
      </c>
      <c r="C83" t="inlineStr">
        <is>
          <t>Lazada</t>
        </is>
      </c>
      <c r="D83" t="inlineStr">
        <is>
          <t>Renewal - office</t>
        </is>
      </c>
      <c r="E83" s="7" t="n">
        <v>59.48</v>
      </c>
    </row>
    <row r="84">
      <c r="A84" s="6" t="n">
        <v>46129</v>
      </c>
      <c r="B84" t="inlineStr">
        <is>
          <t>Marketing</t>
        </is>
      </c>
      <c r="C84" t="inlineStr">
        <is>
          <t>Google Ads</t>
        </is>
      </c>
      <c r="D84" t="inlineStr">
        <is>
          <t>Renewal - marketing</t>
        </is>
      </c>
      <c r="E84" s="7" t="n">
        <v>224.59</v>
      </c>
    </row>
    <row r="85">
      <c r="A85" s="6" t="n">
        <v>46131</v>
      </c>
      <c r="B85" t="inlineStr">
        <is>
          <t>Bank &amp; Payment Fees</t>
        </is>
      </c>
      <c r="C85" t="inlineStr">
        <is>
          <t>PayPal</t>
        </is>
      </c>
      <c r="D85" t="inlineStr">
        <is>
          <t>Monthly - bank</t>
        </is>
      </c>
      <c r="E85" s="7" t="n">
        <v>48.26</v>
      </c>
    </row>
    <row r="86">
      <c r="A86" s="6" t="n">
        <v>46132</v>
      </c>
      <c r="B86" t="inlineStr">
        <is>
          <t>Software &amp; Subscriptions</t>
        </is>
      </c>
      <c r="C86" t="inlineStr">
        <is>
          <t>Slack</t>
        </is>
      </c>
      <c r="D86" t="inlineStr">
        <is>
          <t>Renewal - software</t>
        </is>
      </c>
      <c r="E86" s="7" t="n">
        <v>51.41</v>
      </c>
    </row>
    <row r="87">
      <c r="A87" s="6" t="n">
        <v>46134</v>
      </c>
      <c r="B87" t="inlineStr">
        <is>
          <t>Professional Fees</t>
        </is>
      </c>
      <c r="C87" t="inlineStr">
        <is>
          <t>Legal retainer</t>
        </is>
      </c>
      <c r="D87" t="inlineStr">
        <is>
          <t>Ad-hoc - professional</t>
        </is>
      </c>
      <c r="E87" s="7" t="n">
        <v>82.79000000000001</v>
      </c>
    </row>
    <row r="88">
      <c r="A88" s="6" t="n">
        <v>46135</v>
      </c>
      <c r="B88" t="inlineStr">
        <is>
          <t>Bank &amp; Payment Fees</t>
        </is>
      </c>
      <c r="C88" t="inlineStr">
        <is>
          <t>Stripe</t>
        </is>
      </c>
      <c r="D88" t="inlineStr">
        <is>
          <t>Ad-hoc - bank</t>
        </is>
      </c>
      <c r="E88" s="7" t="n">
        <v>37.09</v>
      </c>
    </row>
    <row r="89">
      <c r="A89" s="6" t="n">
        <v>46137</v>
      </c>
      <c r="B89" t="inlineStr">
        <is>
          <t>Software &amp; Subscriptions</t>
        </is>
      </c>
      <c r="C89" t="inlineStr">
        <is>
          <t>Canva Pro</t>
        </is>
      </c>
      <c r="D89" t="inlineStr">
        <is>
          <t>Q2 - software</t>
        </is>
      </c>
      <c r="E89" s="7" t="n">
        <v>93.52</v>
      </c>
    </row>
    <row r="90">
      <c r="A90" s="6" t="n">
        <v>46137</v>
      </c>
      <c r="B90" t="inlineStr">
        <is>
          <t>Professional Fees</t>
        </is>
      </c>
      <c r="C90" t="inlineStr">
        <is>
          <t>Legal retainer</t>
        </is>
      </c>
      <c r="D90" t="inlineStr">
        <is>
          <t>Ad-hoc - professional</t>
        </is>
      </c>
      <c r="E90" s="7" t="n">
        <v>29.54</v>
      </c>
    </row>
    <row r="91">
      <c r="A91" s="6" t="n">
        <v>46138</v>
      </c>
      <c r="B91" t="inlineStr">
        <is>
          <t>Travel</t>
        </is>
      </c>
      <c r="C91" t="inlineStr">
        <is>
          <t>Shell</t>
        </is>
      </c>
      <c r="D91" t="inlineStr">
        <is>
          <t>Ad-hoc - travel</t>
        </is>
      </c>
      <c r="E91" s="7" t="n">
        <v>273.71</v>
      </c>
    </row>
    <row r="92">
      <c r="A92" s="6" t="n">
        <v>46138</v>
      </c>
      <c r="B92" t="inlineStr">
        <is>
          <t>Professional Fees</t>
        </is>
      </c>
      <c r="C92" t="inlineStr">
        <is>
          <t>Legal retainer</t>
        </is>
      </c>
      <c r="D92" t="inlineStr">
        <is>
          <t>Ad-hoc - professional</t>
        </is>
      </c>
      <c r="E92" s="7" t="n">
        <v>39.17</v>
      </c>
    </row>
    <row r="93">
      <c r="A93" s="6" t="n">
        <v>46143</v>
      </c>
      <c r="B93" t="inlineStr">
        <is>
          <t>Contractors</t>
        </is>
      </c>
      <c r="C93" t="inlineStr">
        <is>
          <t>M. Reyes (copy)</t>
        </is>
      </c>
      <c r="D93" t="inlineStr">
        <is>
          <t>Q2 - contractors</t>
        </is>
      </c>
      <c r="E93" s="7" t="n">
        <v>332.9</v>
      </c>
    </row>
    <row r="94">
      <c r="A94" s="6" t="n">
        <v>46143</v>
      </c>
      <c r="B94" t="inlineStr">
        <is>
          <t>Bank &amp; Payment Fees</t>
        </is>
      </c>
      <c r="C94" t="inlineStr">
        <is>
          <t>BPI</t>
        </is>
      </c>
      <c r="D94" t="inlineStr">
        <is>
          <t>Renewal - bank</t>
        </is>
      </c>
      <c r="E94" s="7" t="n">
        <v>26.01</v>
      </c>
    </row>
    <row r="95">
      <c r="A95" s="6" t="n">
        <v>46144</v>
      </c>
      <c r="B95" t="inlineStr">
        <is>
          <t>Travel</t>
        </is>
      </c>
      <c r="C95" t="inlineStr">
        <is>
          <t>Airbnb</t>
        </is>
      </c>
      <c r="D95" t="inlineStr">
        <is>
          <t>Monthly - travel</t>
        </is>
      </c>
      <c r="E95" s="7" t="n">
        <v>324.3</v>
      </c>
    </row>
    <row r="96">
      <c r="A96" s="6" t="n">
        <v>46144</v>
      </c>
      <c r="B96" t="inlineStr">
        <is>
          <t>Bank &amp; Payment Fees</t>
        </is>
      </c>
      <c r="C96" t="inlineStr">
        <is>
          <t>Wise</t>
        </is>
      </c>
      <c r="D96" t="inlineStr">
        <is>
          <t>Project - bank</t>
        </is>
      </c>
      <c r="E96" s="7" t="n">
        <v>58.61</v>
      </c>
    </row>
    <row r="97">
      <c r="A97" s="6" t="n">
        <v>46147</v>
      </c>
      <c r="B97" t="inlineStr">
        <is>
          <t>Professional Fees</t>
        </is>
      </c>
      <c r="C97" t="inlineStr">
        <is>
          <t>Cruz &amp; Co (accounting)</t>
        </is>
      </c>
      <c r="D97" t="inlineStr">
        <is>
          <t>Project - professional</t>
        </is>
      </c>
      <c r="E97" s="7" t="n">
        <v>117.5</v>
      </c>
    </row>
    <row r="98">
      <c r="A98" s="6" t="n">
        <v>46152</v>
      </c>
      <c r="B98" t="inlineStr">
        <is>
          <t>Office &amp; Supplies</t>
        </is>
      </c>
      <c r="C98" t="inlineStr">
        <is>
          <t>Lazada</t>
        </is>
      </c>
      <c r="D98" t="inlineStr">
        <is>
          <t>Project - office</t>
        </is>
      </c>
      <c r="E98" s="7" t="n">
        <v>92.29000000000001</v>
      </c>
    </row>
    <row r="99">
      <c r="A99" s="6" t="n">
        <v>46155</v>
      </c>
      <c r="B99" t="inlineStr">
        <is>
          <t>Contractors</t>
        </is>
      </c>
      <c r="C99" t="inlineStr">
        <is>
          <t>K. Santos (VA)</t>
        </is>
      </c>
      <c r="D99" t="inlineStr">
        <is>
          <t>Ad-hoc - contractors</t>
        </is>
      </c>
      <c r="E99" s="7" t="n">
        <v>1327.08</v>
      </c>
    </row>
    <row r="100">
      <c r="A100" s="6" t="n">
        <v>46155</v>
      </c>
      <c r="B100" t="inlineStr">
        <is>
          <t>Contractors</t>
        </is>
      </c>
      <c r="C100" t="inlineStr">
        <is>
          <t>M. Reyes (copy)</t>
        </is>
      </c>
      <c r="D100" t="inlineStr">
        <is>
          <t>Ad-hoc - contractors</t>
        </is>
      </c>
      <c r="E100" s="7" t="n">
        <v>763.41</v>
      </c>
    </row>
    <row r="101">
      <c r="A101" s="6" t="n">
        <v>46155</v>
      </c>
      <c r="B101" t="inlineStr">
        <is>
          <t>Office &amp; Supplies</t>
        </is>
      </c>
      <c r="C101" t="inlineStr">
        <is>
          <t>National Bookstore</t>
        </is>
      </c>
      <c r="D101" t="inlineStr">
        <is>
          <t>Ad-hoc - office</t>
        </is>
      </c>
      <c r="E101" s="7" t="n">
        <v>85.65000000000001</v>
      </c>
    </row>
    <row r="102">
      <c r="A102" s="6" t="n">
        <v>46156</v>
      </c>
      <c r="B102" t="inlineStr">
        <is>
          <t>Travel</t>
        </is>
      </c>
      <c r="C102" t="inlineStr">
        <is>
          <t>Cebu Pacific</t>
        </is>
      </c>
      <c r="D102" t="inlineStr">
        <is>
          <t>Monthly - travel</t>
        </is>
      </c>
      <c r="E102" s="7" t="n">
        <v>71.16</v>
      </c>
    </row>
    <row r="103">
      <c r="A103" s="6" t="n">
        <v>46157</v>
      </c>
      <c r="B103" t="inlineStr">
        <is>
          <t>Professional Fees</t>
        </is>
      </c>
      <c r="C103" t="inlineStr">
        <is>
          <t>Legal retainer</t>
        </is>
      </c>
      <c r="D103" t="inlineStr">
        <is>
          <t>Q2 - professional</t>
        </is>
      </c>
      <c r="E103" s="7" t="n">
        <v>167.32</v>
      </c>
    </row>
    <row r="104">
      <c r="A104" s="6" t="n">
        <v>46158</v>
      </c>
      <c r="B104" t="inlineStr">
        <is>
          <t>Bank &amp; Payment Fees</t>
        </is>
      </c>
      <c r="C104" t="inlineStr">
        <is>
          <t>Wise</t>
        </is>
      </c>
      <c r="D104" t="inlineStr">
        <is>
          <t>Monthly - bank</t>
        </is>
      </c>
      <c r="E104" s="7" t="n">
        <v>68.51000000000001</v>
      </c>
    </row>
    <row r="105">
      <c r="A105" s="6" t="n">
        <v>46160</v>
      </c>
      <c r="B105" t="inlineStr">
        <is>
          <t>Bank &amp; Payment Fees</t>
        </is>
      </c>
      <c r="C105" t="inlineStr">
        <is>
          <t>Wise</t>
        </is>
      </c>
      <c r="D105" t="inlineStr">
        <is>
          <t>Renewal - bank</t>
        </is>
      </c>
      <c r="E105" s="7" t="n">
        <v>36.7</v>
      </c>
    </row>
    <row r="106">
      <c r="A106" s="6" t="n">
        <v>46163</v>
      </c>
      <c r="B106" t="inlineStr">
        <is>
          <t>Marketing</t>
        </is>
      </c>
      <c r="C106" t="inlineStr">
        <is>
          <t>Meta Ads</t>
        </is>
      </c>
      <c r="D106" t="inlineStr">
        <is>
          <t>Monthly - marketing</t>
        </is>
      </c>
      <c r="E106" s="7" t="n">
        <v>568.76</v>
      </c>
    </row>
    <row r="107">
      <c r="A107" s="6" t="n">
        <v>46164</v>
      </c>
      <c r="B107" t="inlineStr">
        <is>
          <t>Professional Fees</t>
        </is>
      </c>
      <c r="C107" t="inlineStr">
        <is>
          <t>Cruz &amp; Co (accounting)</t>
        </is>
      </c>
      <c r="D107" t="inlineStr">
        <is>
          <t>Q2 - professional</t>
        </is>
      </c>
      <c r="E107" s="7" t="n">
        <v>163.28</v>
      </c>
    </row>
    <row r="108">
      <c r="A108" s="6" t="n">
        <v>46165</v>
      </c>
      <c r="B108" t="inlineStr">
        <is>
          <t>Software &amp; Subscriptions</t>
        </is>
      </c>
      <c r="C108" t="inlineStr">
        <is>
          <t>Canva Pro</t>
        </is>
      </c>
      <c r="D108" t="inlineStr">
        <is>
          <t>Renewal - software</t>
        </is>
      </c>
      <c r="E108" s="7" t="n">
        <v>43.43</v>
      </c>
    </row>
    <row r="109">
      <c r="A109" s="6" t="n">
        <v>46166</v>
      </c>
      <c r="B109" t="inlineStr">
        <is>
          <t>Training</t>
        </is>
      </c>
      <c r="C109" t="inlineStr">
        <is>
          <t>Maven</t>
        </is>
      </c>
      <c r="D109" t="inlineStr">
        <is>
          <t>Q2 - training</t>
        </is>
      </c>
      <c r="E109" s="7" t="n">
        <v>30.08</v>
      </c>
    </row>
    <row r="110">
      <c r="A110" s="6" t="n">
        <v>46167</v>
      </c>
      <c r="B110" t="inlineStr">
        <is>
          <t>Professional Fees</t>
        </is>
      </c>
      <c r="C110" t="inlineStr">
        <is>
          <t>Legal retainer</t>
        </is>
      </c>
      <c r="D110" t="inlineStr">
        <is>
          <t>Monthly - professional</t>
        </is>
      </c>
      <c r="E110" s="7" t="n">
        <v>29.73</v>
      </c>
    </row>
    <row r="111">
      <c r="A111" s="6" t="n">
        <v>46175</v>
      </c>
      <c r="B111" t="inlineStr">
        <is>
          <t>Contractors</t>
        </is>
      </c>
      <c r="C111" t="inlineStr">
        <is>
          <t>J. Alvarez (design)</t>
        </is>
      </c>
      <c r="D111" t="inlineStr">
        <is>
          <t>Monthly - contractors</t>
        </is>
      </c>
      <c r="E111" s="7" t="n">
        <v>1152.8</v>
      </c>
    </row>
    <row r="112">
      <c r="A112" s="6" t="n">
        <v>46175</v>
      </c>
      <c r="B112" t="inlineStr">
        <is>
          <t>Office &amp; Supplies</t>
        </is>
      </c>
      <c r="C112" t="inlineStr">
        <is>
          <t>National Bookstore</t>
        </is>
      </c>
      <c r="D112" t="inlineStr">
        <is>
          <t>Renewal - office</t>
        </is>
      </c>
      <c r="E112" s="7" t="n">
        <v>23.52</v>
      </c>
    </row>
    <row r="113">
      <c r="A113" s="6" t="n">
        <v>46176</v>
      </c>
      <c r="B113" t="inlineStr">
        <is>
          <t>Travel</t>
        </is>
      </c>
      <c r="C113" t="inlineStr">
        <is>
          <t>Shell</t>
        </is>
      </c>
      <c r="D113" t="inlineStr">
        <is>
          <t>Renewal - travel</t>
        </is>
      </c>
      <c r="E113" s="7" t="n">
        <v>73.09</v>
      </c>
    </row>
    <row r="114">
      <c r="A114" s="6" t="n">
        <v>46179</v>
      </c>
      <c r="B114" t="inlineStr">
        <is>
          <t>Bank &amp; Payment Fees</t>
        </is>
      </c>
      <c r="C114" t="inlineStr">
        <is>
          <t>BPI</t>
        </is>
      </c>
      <c r="D114" t="inlineStr">
        <is>
          <t>Ad-hoc - bank</t>
        </is>
      </c>
      <c r="E114" s="7" t="n">
        <v>38.26</v>
      </c>
    </row>
    <row r="115">
      <c r="A115" s="6" t="n">
        <v>46181</v>
      </c>
      <c r="B115" t="inlineStr">
        <is>
          <t>Office &amp; Supplies</t>
        </is>
      </c>
      <c r="C115" t="inlineStr">
        <is>
          <t>SM Stationery</t>
        </is>
      </c>
      <c r="D115" t="inlineStr">
        <is>
          <t>Ad-hoc - office</t>
        </is>
      </c>
      <c r="E115" s="7" t="n">
        <v>26.81</v>
      </c>
    </row>
    <row r="116">
      <c r="A116" s="6" t="n">
        <v>46181</v>
      </c>
      <c r="B116" t="inlineStr">
        <is>
          <t>Bank &amp; Payment Fees</t>
        </is>
      </c>
      <c r="C116" t="inlineStr">
        <is>
          <t>BPI</t>
        </is>
      </c>
      <c r="D116" t="inlineStr">
        <is>
          <t>Project - bank</t>
        </is>
      </c>
      <c r="E116" s="7" t="n">
        <v>18.42</v>
      </c>
    </row>
    <row r="117">
      <c r="A117" s="6" t="n">
        <v>46185</v>
      </c>
      <c r="B117" t="inlineStr">
        <is>
          <t>Training</t>
        </is>
      </c>
      <c r="C117" t="inlineStr">
        <is>
          <t>Coursera</t>
        </is>
      </c>
      <c r="D117" t="inlineStr">
        <is>
          <t>Ad-hoc - training</t>
        </is>
      </c>
      <c r="E117" s="7" t="n">
        <v>60.22</v>
      </c>
    </row>
    <row r="118">
      <c r="A118" s="6" t="n">
        <v>46188</v>
      </c>
      <c r="B118" t="inlineStr">
        <is>
          <t>Office &amp; Supplies</t>
        </is>
      </c>
      <c r="C118" t="inlineStr">
        <is>
          <t>Lazada</t>
        </is>
      </c>
      <c r="D118" t="inlineStr">
        <is>
          <t>Monthly - office</t>
        </is>
      </c>
      <c r="E118" s="7" t="n">
        <v>32.3</v>
      </c>
    </row>
    <row r="119">
      <c r="A119" s="6" t="n">
        <v>46190</v>
      </c>
      <c r="B119" t="inlineStr">
        <is>
          <t>Marketing</t>
        </is>
      </c>
      <c r="C119" t="inlineStr">
        <is>
          <t>Mailchimp</t>
        </is>
      </c>
      <c r="D119" t="inlineStr">
        <is>
          <t>Monthly - marketing</t>
        </is>
      </c>
      <c r="E119" s="7" t="n">
        <v>360.8</v>
      </c>
    </row>
    <row r="120">
      <c r="A120" s="6" t="n">
        <v>46191</v>
      </c>
      <c r="B120" t="inlineStr">
        <is>
          <t>Training</t>
        </is>
      </c>
      <c r="C120" t="inlineStr">
        <is>
          <t>Coursera</t>
        </is>
      </c>
      <c r="D120" t="inlineStr">
        <is>
          <t>Project - training</t>
        </is>
      </c>
      <c r="E120" s="7" t="n">
        <v>29.96</v>
      </c>
    </row>
    <row r="121">
      <c r="A121" s="6" t="n">
        <v>46193</v>
      </c>
      <c r="B121" t="inlineStr">
        <is>
          <t>Marketing</t>
        </is>
      </c>
      <c r="C121" t="inlineStr">
        <is>
          <t>Mailchimp</t>
        </is>
      </c>
      <c r="D121" t="inlineStr">
        <is>
          <t>Q2 - marketing</t>
        </is>
      </c>
      <c r="E121" s="7" t="n">
        <v>130.14</v>
      </c>
    </row>
    <row r="122">
      <c r="A122" s="6" t="n">
        <v>46194</v>
      </c>
      <c r="B122" t="inlineStr">
        <is>
          <t>Contractors</t>
        </is>
      </c>
      <c r="C122" t="inlineStr">
        <is>
          <t>Bright Dev Studio</t>
        </is>
      </c>
      <c r="D122" t="inlineStr">
        <is>
          <t>Q2 - contractors</t>
        </is>
      </c>
      <c r="E122" s="7" t="n">
        <v>286.56</v>
      </c>
    </row>
    <row r="123">
      <c r="A123" s="6" t="n">
        <v>46194</v>
      </c>
      <c r="B123" t="inlineStr">
        <is>
          <t>Contractors</t>
        </is>
      </c>
      <c r="C123" t="inlineStr">
        <is>
          <t>K. Santos (VA)</t>
        </is>
      </c>
      <c r="D123" t="inlineStr">
        <is>
          <t>Project - contractors</t>
        </is>
      </c>
      <c r="E123" s="7" t="n">
        <v>512.4400000000001</v>
      </c>
    </row>
    <row r="124">
      <c r="A124" s="6" t="n">
        <v>46194</v>
      </c>
      <c r="B124" t="inlineStr">
        <is>
          <t>Office &amp; Supplies</t>
        </is>
      </c>
      <c r="C124" t="inlineStr">
        <is>
          <t>National Bookstore</t>
        </is>
      </c>
      <c r="D124" t="inlineStr">
        <is>
          <t>Monthly - office</t>
        </is>
      </c>
      <c r="E124" s="7" t="n">
        <v>15.8</v>
      </c>
    </row>
    <row r="125">
      <c r="A125" s="6" t="n">
        <v>46195</v>
      </c>
      <c r="B125" t="inlineStr">
        <is>
          <t>Marketing</t>
        </is>
      </c>
      <c r="C125" t="inlineStr">
        <is>
          <t>Mailchimp</t>
        </is>
      </c>
      <c r="D125" t="inlineStr">
        <is>
          <t>Ad-hoc - marketing</t>
        </is>
      </c>
      <c r="E125" s="7" t="n">
        <v>422.85</v>
      </c>
    </row>
    <row r="126">
      <c r="A126" s="6" t="n">
        <v>46198</v>
      </c>
      <c r="B126" t="inlineStr">
        <is>
          <t>Marketing</t>
        </is>
      </c>
      <c r="C126" t="inlineStr">
        <is>
          <t>Meta Ads</t>
        </is>
      </c>
      <c r="D126" t="inlineStr">
        <is>
          <t>Project - marketing</t>
        </is>
      </c>
      <c r="E126" s="7" t="n">
        <v>434.35</v>
      </c>
    </row>
    <row r="127">
      <c r="A127" s="6" t="n">
        <v>46199</v>
      </c>
      <c r="B127" t="inlineStr">
        <is>
          <t>Software &amp; Subscriptions</t>
        </is>
      </c>
      <c r="C127" t="inlineStr">
        <is>
          <t>Adobe</t>
        </is>
      </c>
      <c r="D127" t="inlineStr">
        <is>
          <t>Project - software</t>
        </is>
      </c>
      <c r="E127" s="7" t="n">
        <v>112.6</v>
      </c>
    </row>
    <row r="128">
      <c r="A128" s="6" t="n">
        <v>46200</v>
      </c>
      <c r="B128" t="inlineStr">
        <is>
          <t>Professional Fees</t>
        </is>
      </c>
      <c r="C128" t="inlineStr">
        <is>
          <t>Legal retainer</t>
        </is>
      </c>
      <c r="D128" t="inlineStr">
        <is>
          <t>Ad-hoc - professional</t>
        </is>
      </c>
      <c r="E128" s="7" t="n">
        <v>175.97</v>
      </c>
    </row>
  </sheetData>
  <autoFilter ref="A1:E128"/>
  <dataValidations count="1">
    <dataValidation sqref="B2:B528" showDropDown="0" showInputMessage="0" showErrorMessage="0" allowBlank="0" errorTitle="Use the dropdown" error="Pick a category from the list. Free-typing here is what breaks the rollups." type="list">
      <formula1>"Software &amp; Subscriptions,Contractors,Marketing,Travel,Office &amp; Supplies,Professional Fees,Bank &amp; Payment Fees,Training"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Calculations - do not edit by hand</t>
        </is>
      </c>
    </row>
    <row r="2">
      <c r="A2" s="2" t="inlineStr">
        <is>
          <t>Every figure here is derived from Data. Nothing is typed except the budget block.</t>
        </is>
      </c>
    </row>
    <row r="4">
      <c r="A4" s="9" t="inlineStr">
        <is>
          <t>ACTUAL SPEND BY CATEGORY / MONTH</t>
        </is>
      </c>
    </row>
    <row r="5">
      <c r="A5" s="10" t="inlineStr">
        <is>
          <t>Category</t>
        </is>
      </c>
      <c r="B5" s="11" t="n">
        <v>46023</v>
      </c>
      <c r="C5" s="11" t="n">
        <v>46054</v>
      </c>
      <c r="D5" s="11" t="n">
        <v>46082</v>
      </c>
      <c r="E5" s="11" t="n">
        <v>46113</v>
      </c>
      <c r="F5" s="11" t="n">
        <v>46143</v>
      </c>
      <c r="G5" s="11" t="n">
        <v>46174</v>
      </c>
      <c r="H5" s="10" t="inlineStr">
        <is>
          <t>Total</t>
        </is>
      </c>
    </row>
    <row r="6">
      <c r="A6" t="inlineStr">
        <is>
          <t>Software &amp; Subscriptions</t>
        </is>
      </c>
      <c r="B6" s="7">
        <f>SUMIFS(Data!$E:$E,Data!$B:$B,$A6,Data!$A:$A,"&gt;="&amp;B$5,Data!$A:$A,"&lt;="&amp;EOMONTH(B$5,0))</f>
        <v/>
      </c>
      <c r="C6" s="7">
        <f>SUMIFS(Data!$E:$E,Data!$B:$B,$A6,Data!$A:$A,"&gt;="&amp;C$5,Data!$A:$A,"&lt;="&amp;EOMONTH(C$5,0))</f>
        <v/>
      </c>
      <c r="D6" s="7">
        <f>SUMIFS(Data!$E:$E,Data!$B:$B,$A6,Data!$A:$A,"&gt;="&amp;D$5,Data!$A:$A,"&lt;="&amp;EOMONTH(D$5,0))</f>
        <v/>
      </c>
      <c r="E6" s="7">
        <f>SUMIFS(Data!$E:$E,Data!$B:$B,$A6,Data!$A:$A,"&gt;="&amp;E$5,Data!$A:$A,"&lt;="&amp;EOMONTH(E$5,0))</f>
        <v/>
      </c>
      <c r="F6" s="7">
        <f>SUMIFS(Data!$E:$E,Data!$B:$B,$A6,Data!$A:$A,"&gt;="&amp;F$5,Data!$A:$A,"&lt;="&amp;EOMONTH(F$5,0))</f>
        <v/>
      </c>
      <c r="G6" s="7">
        <f>SUMIFS(Data!$E:$E,Data!$B:$B,$A6,Data!$A:$A,"&gt;="&amp;G$5,Data!$A:$A,"&lt;="&amp;EOMONTH(G$5,0))</f>
        <v/>
      </c>
      <c r="H6" s="12">
        <f>SUM(B6:G6)</f>
        <v/>
      </c>
    </row>
    <row r="7">
      <c r="A7" t="inlineStr">
        <is>
          <t>Contractors</t>
        </is>
      </c>
      <c r="B7" s="7">
        <f>SUMIFS(Data!$E:$E,Data!$B:$B,$A7,Data!$A:$A,"&gt;="&amp;B$5,Data!$A:$A,"&lt;="&amp;EOMONTH(B$5,0))</f>
        <v/>
      </c>
      <c r="C7" s="7">
        <f>SUMIFS(Data!$E:$E,Data!$B:$B,$A7,Data!$A:$A,"&gt;="&amp;C$5,Data!$A:$A,"&lt;="&amp;EOMONTH(C$5,0))</f>
        <v/>
      </c>
      <c r="D7" s="7">
        <f>SUMIFS(Data!$E:$E,Data!$B:$B,$A7,Data!$A:$A,"&gt;="&amp;D$5,Data!$A:$A,"&lt;="&amp;EOMONTH(D$5,0))</f>
        <v/>
      </c>
      <c r="E7" s="7">
        <f>SUMIFS(Data!$E:$E,Data!$B:$B,$A7,Data!$A:$A,"&gt;="&amp;E$5,Data!$A:$A,"&lt;="&amp;EOMONTH(E$5,0))</f>
        <v/>
      </c>
      <c r="F7" s="7">
        <f>SUMIFS(Data!$E:$E,Data!$B:$B,$A7,Data!$A:$A,"&gt;="&amp;F$5,Data!$A:$A,"&lt;="&amp;EOMONTH(F$5,0))</f>
        <v/>
      </c>
      <c r="G7" s="7">
        <f>SUMIFS(Data!$E:$E,Data!$B:$B,$A7,Data!$A:$A,"&gt;="&amp;G$5,Data!$A:$A,"&lt;="&amp;EOMONTH(G$5,0))</f>
        <v/>
      </c>
      <c r="H7" s="12">
        <f>SUM(B7:G7)</f>
        <v/>
      </c>
    </row>
    <row r="8">
      <c r="A8" t="inlineStr">
        <is>
          <t>Marketing</t>
        </is>
      </c>
      <c r="B8" s="7">
        <f>SUMIFS(Data!$E:$E,Data!$B:$B,$A8,Data!$A:$A,"&gt;="&amp;B$5,Data!$A:$A,"&lt;="&amp;EOMONTH(B$5,0))</f>
        <v/>
      </c>
      <c r="C8" s="7">
        <f>SUMIFS(Data!$E:$E,Data!$B:$B,$A8,Data!$A:$A,"&gt;="&amp;C$5,Data!$A:$A,"&lt;="&amp;EOMONTH(C$5,0))</f>
        <v/>
      </c>
      <c r="D8" s="7">
        <f>SUMIFS(Data!$E:$E,Data!$B:$B,$A8,Data!$A:$A,"&gt;="&amp;D$5,Data!$A:$A,"&lt;="&amp;EOMONTH(D$5,0))</f>
        <v/>
      </c>
      <c r="E8" s="7">
        <f>SUMIFS(Data!$E:$E,Data!$B:$B,$A8,Data!$A:$A,"&gt;="&amp;E$5,Data!$A:$A,"&lt;="&amp;EOMONTH(E$5,0))</f>
        <v/>
      </c>
      <c r="F8" s="7">
        <f>SUMIFS(Data!$E:$E,Data!$B:$B,$A8,Data!$A:$A,"&gt;="&amp;F$5,Data!$A:$A,"&lt;="&amp;EOMONTH(F$5,0))</f>
        <v/>
      </c>
      <c r="G8" s="7">
        <f>SUMIFS(Data!$E:$E,Data!$B:$B,$A8,Data!$A:$A,"&gt;="&amp;G$5,Data!$A:$A,"&lt;="&amp;EOMONTH(G$5,0))</f>
        <v/>
      </c>
      <c r="H8" s="12">
        <f>SUM(B8:G8)</f>
        <v/>
      </c>
    </row>
    <row r="9">
      <c r="A9" t="inlineStr">
        <is>
          <t>Travel</t>
        </is>
      </c>
      <c r="B9" s="7">
        <f>SUMIFS(Data!$E:$E,Data!$B:$B,$A9,Data!$A:$A,"&gt;="&amp;B$5,Data!$A:$A,"&lt;="&amp;EOMONTH(B$5,0))</f>
        <v/>
      </c>
      <c r="C9" s="7">
        <f>SUMIFS(Data!$E:$E,Data!$B:$B,$A9,Data!$A:$A,"&gt;="&amp;C$5,Data!$A:$A,"&lt;="&amp;EOMONTH(C$5,0))</f>
        <v/>
      </c>
      <c r="D9" s="7">
        <f>SUMIFS(Data!$E:$E,Data!$B:$B,$A9,Data!$A:$A,"&gt;="&amp;D$5,Data!$A:$A,"&lt;="&amp;EOMONTH(D$5,0))</f>
        <v/>
      </c>
      <c r="E9" s="7">
        <f>SUMIFS(Data!$E:$E,Data!$B:$B,$A9,Data!$A:$A,"&gt;="&amp;E$5,Data!$A:$A,"&lt;="&amp;EOMONTH(E$5,0))</f>
        <v/>
      </c>
      <c r="F9" s="7">
        <f>SUMIFS(Data!$E:$E,Data!$B:$B,$A9,Data!$A:$A,"&gt;="&amp;F$5,Data!$A:$A,"&lt;="&amp;EOMONTH(F$5,0))</f>
        <v/>
      </c>
      <c r="G9" s="7">
        <f>SUMIFS(Data!$E:$E,Data!$B:$B,$A9,Data!$A:$A,"&gt;="&amp;G$5,Data!$A:$A,"&lt;="&amp;EOMONTH(G$5,0))</f>
        <v/>
      </c>
      <c r="H9" s="12">
        <f>SUM(B9:G9)</f>
        <v/>
      </c>
    </row>
    <row r="10">
      <c r="A10" t="inlineStr">
        <is>
          <t>Office &amp; Supplies</t>
        </is>
      </c>
      <c r="B10" s="7">
        <f>SUMIFS(Data!$E:$E,Data!$B:$B,$A10,Data!$A:$A,"&gt;="&amp;B$5,Data!$A:$A,"&lt;="&amp;EOMONTH(B$5,0))</f>
        <v/>
      </c>
      <c r="C10" s="7">
        <f>SUMIFS(Data!$E:$E,Data!$B:$B,$A10,Data!$A:$A,"&gt;="&amp;C$5,Data!$A:$A,"&lt;="&amp;EOMONTH(C$5,0))</f>
        <v/>
      </c>
      <c r="D10" s="7">
        <f>SUMIFS(Data!$E:$E,Data!$B:$B,$A10,Data!$A:$A,"&gt;="&amp;D$5,Data!$A:$A,"&lt;="&amp;EOMONTH(D$5,0))</f>
        <v/>
      </c>
      <c r="E10" s="7">
        <f>SUMIFS(Data!$E:$E,Data!$B:$B,$A10,Data!$A:$A,"&gt;="&amp;E$5,Data!$A:$A,"&lt;="&amp;EOMONTH(E$5,0))</f>
        <v/>
      </c>
      <c r="F10" s="7">
        <f>SUMIFS(Data!$E:$E,Data!$B:$B,$A10,Data!$A:$A,"&gt;="&amp;F$5,Data!$A:$A,"&lt;="&amp;EOMONTH(F$5,0))</f>
        <v/>
      </c>
      <c r="G10" s="7">
        <f>SUMIFS(Data!$E:$E,Data!$B:$B,$A10,Data!$A:$A,"&gt;="&amp;G$5,Data!$A:$A,"&lt;="&amp;EOMONTH(G$5,0))</f>
        <v/>
      </c>
      <c r="H10" s="12">
        <f>SUM(B10:G10)</f>
        <v/>
      </c>
    </row>
    <row r="11">
      <c r="A11" t="inlineStr">
        <is>
          <t>Professional Fees</t>
        </is>
      </c>
      <c r="B11" s="7">
        <f>SUMIFS(Data!$E:$E,Data!$B:$B,$A11,Data!$A:$A,"&gt;="&amp;B$5,Data!$A:$A,"&lt;="&amp;EOMONTH(B$5,0))</f>
        <v/>
      </c>
      <c r="C11" s="7">
        <f>SUMIFS(Data!$E:$E,Data!$B:$B,$A11,Data!$A:$A,"&gt;="&amp;C$5,Data!$A:$A,"&lt;="&amp;EOMONTH(C$5,0))</f>
        <v/>
      </c>
      <c r="D11" s="7">
        <f>SUMIFS(Data!$E:$E,Data!$B:$B,$A11,Data!$A:$A,"&gt;="&amp;D$5,Data!$A:$A,"&lt;="&amp;EOMONTH(D$5,0))</f>
        <v/>
      </c>
      <c r="E11" s="7">
        <f>SUMIFS(Data!$E:$E,Data!$B:$B,$A11,Data!$A:$A,"&gt;="&amp;E$5,Data!$A:$A,"&lt;="&amp;EOMONTH(E$5,0))</f>
        <v/>
      </c>
      <c r="F11" s="7">
        <f>SUMIFS(Data!$E:$E,Data!$B:$B,$A11,Data!$A:$A,"&gt;="&amp;F$5,Data!$A:$A,"&lt;="&amp;EOMONTH(F$5,0))</f>
        <v/>
      </c>
      <c r="G11" s="7">
        <f>SUMIFS(Data!$E:$E,Data!$B:$B,$A11,Data!$A:$A,"&gt;="&amp;G$5,Data!$A:$A,"&lt;="&amp;EOMONTH(G$5,0))</f>
        <v/>
      </c>
      <c r="H11" s="12">
        <f>SUM(B11:G11)</f>
        <v/>
      </c>
    </row>
    <row r="12">
      <c r="A12" t="inlineStr">
        <is>
          <t>Bank &amp; Payment Fees</t>
        </is>
      </c>
      <c r="B12" s="7">
        <f>SUMIFS(Data!$E:$E,Data!$B:$B,$A12,Data!$A:$A,"&gt;="&amp;B$5,Data!$A:$A,"&lt;="&amp;EOMONTH(B$5,0))</f>
        <v/>
      </c>
      <c r="C12" s="7">
        <f>SUMIFS(Data!$E:$E,Data!$B:$B,$A12,Data!$A:$A,"&gt;="&amp;C$5,Data!$A:$A,"&lt;="&amp;EOMONTH(C$5,0))</f>
        <v/>
      </c>
      <c r="D12" s="7">
        <f>SUMIFS(Data!$E:$E,Data!$B:$B,$A12,Data!$A:$A,"&gt;="&amp;D$5,Data!$A:$A,"&lt;="&amp;EOMONTH(D$5,0))</f>
        <v/>
      </c>
      <c r="E12" s="7">
        <f>SUMIFS(Data!$E:$E,Data!$B:$B,$A12,Data!$A:$A,"&gt;="&amp;E$5,Data!$A:$A,"&lt;="&amp;EOMONTH(E$5,0))</f>
        <v/>
      </c>
      <c r="F12" s="7">
        <f>SUMIFS(Data!$E:$E,Data!$B:$B,$A12,Data!$A:$A,"&gt;="&amp;F$5,Data!$A:$A,"&lt;="&amp;EOMONTH(F$5,0))</f>
        <v/>
      </c>
      <c r="G12" s="7">
        <f>SUMIFS(Data!$E:$E,Data!$B:$B,$A12,Data!$A:$A,"&gt;="&amp;G$5,Data!$A:$A,"&lt;="&amp;EOMONTH(G$5,0))</f>
        <v/>
      </c>
      <c r="H12" s="12">
        <f>SUM(B12:G12)</f>
        <v/>
      </c>
    </row>
    <row r="13">
      <c r="A13" t="inlineStr">
        <is>
          <t>Training</t>
        </is>
      </c>
      <c r="B13" s="7">
        <f>SUMIFS(Data!$E:$E,Data!$B:$B,$A13,Data!$A:$A,"&gt;="&amp;B$5,Data!$A:$A,"&lt;="&amp;EOMONTH(B$5,0))</f>
        <v/>
      </c>
      <c r="C13" s="7">
        <f>SUMIFS(Data!$E:$E,Data!$B:$B,$A13,Data!$A:$A,"&gt;="&amp;C$5,Data!$A:$A,"&lt;="&amp;EOMONTH(C$5,0))</f>
        <v/>
      </c>
      <c r="D13" s="7">
        <f>SUMIFS(Data!$E:$E,Data!$B:$B,$A13,Data!$A:$A,"&gt;="&amp;D$5,Data!$A:$A,"&lt;="&amp;EOMONTH(D$5,0))</f>
        <v/>
      </c>
      <c r="E13" s="7">
        <f>SUMIFS(Data!$E:$E,Data!$B:$B,$A13,Data!$A:$A,"&gt;="&amp;E$5,Data!$A:$A,"&lt;="&amp;EOMONTH(E$5,0))</f>
        <v/>
      </c>
      <c r="F13" s="7">
        <f>SUMIFS(Data!$E:$E,Data!$B:$B,$A13,Data!$A:$A,"&gt;="&amp;F$5,Data!$A:$A,"&lt;="&amp;EOMONTH(F$5,0))</f>
        <v/>
      </c>
      <c r="G13" s="7">
        <f>SUMIFS(Data!$E:$E,Data!$B:$B,$A13,Data!$A:$A,"&gt;="&amp;G$5,Data!$A:$A,"&lt;="&amp;EOMONTH(G$5,0))</f>
        <v/>
      </c>
      <c r="H13" s="12">
        <f>SUM(B13:G13)</f>
        <v/>
      </c>
    </row>
    <row r="14">
      <c r="A14" s="10" t="inlineStr">
        <is>
          <t>TOTAL</t>
        </is>
      </c>
      <c r="B14" s="12">
        <f>SUM(B6:B13)</f>
        <v/>
      </c>
      <c r="C14" s="12">
        <f>SUM(C6:C13)</f>
        <v/>
      </c>
      <c r="D14" s="12">
        <f>SUM(D6:D13)</f>
        <v/>
      </c>
      <c r="E14" s="12">
        <f>SUM(E6:E13)</f>
        <v/>
      </c>
      <c r="F14" s="12">
        <f>SUM(F6:F13)</f>
        <v/>
      </c>
      <c r="G14" s="12">
        <f>SUM(G6:G13)</f>
        <v/>
      </c>
      <c r="H14" s="12">
        <f>SUM(H6:H13)</f>
        <v/>
      </c>
    </row>
    <row r="16">
      <c r="A16" s="9" t="inlineStr">
        <is>
          <t>MONTHLY BUDGET (the only typed numbers in this workbook)</t>
        </is>
      </c>
    </row>
    <row r="17">
      <c r="A17" s="10" t="inlineStr">
        <is>
          <t>Category</t>
        </is>
      </c>
      <c r="B17" s="10" t="inlineStr">
        <is>
          <t>Budget / month</t>
        </is>
      </c>
      <c r="C17" s="10" t="inlineStr">
        <is>
          <t>Budget YTD (6 mo)</t>
        </is>
      </c>
    </row>
    <row r="18">
      <c r="A18" t="inlineStr">
        <is>
          <t>Software &amp; Subscriptions</t>
        </is>
      </c>
      <c r="B18" s="13" t="n">
        <v>420</v>
      </c>
      <c r="C18" s="7">
        <f>B18*6</f>
        <v/>
      </c>
    </row>
    <row r="19">
      <c r="A19" t="inlineStr">
        <is>
          <t>Contractors</t>
        </is>
      </c>
      <c r="B19" s="13" t="n">
        <v>2200</v>
      </c>
      <c r="C19" s="7">
        <f>B19*6</f>
        <v/>
      </c>
    </row>
    <row r="20">
      <c r="A20" t="inlineStr">
        <is>
          <t>Marketing</t>
        </is>
      </c>
      <c r="B20" s="13" t="n">
        <v>800</v>
      </c>
      <c r="C20" s="7">
        <f>B20*6</f>
        <v/>
      </c>
    </row>
    <row r="21">
      <c r="A21" t="inlineStr">
        <is>
          <t>Travel</t>
        </is>
      </c>
      <c r="B21" s="13" t="n">
        <v>450</v>
      </c>
      <c r="C21" s="7">
        <f>B21*6</f>
        <v/>
      </c>
    </row>
    <row r="22">
      <c r="A22" t="inlineStr">
        <is>
          <t>Office &amp; Supplies</t>
        </is>
      </c>
      <c r="B22" s="13" t="n">
        <v>180</v>
      </c>
      <c r="C22" s="7">
        <f>B22*6</f>
        <v/>
      </c>
    </row>
    <row r="23">
      <c r="A23" t="inlineStr">
        <is>
          <t>Professional Fees</t>
        </is>
      </c>
      <c r="B23" s="13" t="n">
        <v>350</v>
      </c>
      <c r="C23" s="7">
        <f>B23*6</f>
        <v/>
      </c>
    </row>
    <row r="24">
      <c r="A24" t="inlineStr">
        <is>
          <t>Bank &amp; Payment Fees</t>
        </is>
      </c>
      <c r="B24" s="13" t="n">
        <v>120</v>
      </c>
      <c r="C24" s="7">
        <f>B24*6</f>
        <v/>
      </c>
    </row>
    <row r="25">
      <c r="A25" t="inlineStr">
        <is>
          <t>Training</t>
        </is>
      </c>
      <c r="B25" s="13" t="n">
        <v>200</v>
      </c>
      <c r="C25" s="7">
        <f>B25*6</f>
        <v/>
      </c>
    </row>
    <row r="27">
      <c r="A27" s="9" t="inlineStr">
        <is>
          <t>BUDGET vs ACTUAL - YTD</t>
        </is>
      </c>
    </row>
    <row r="28">
      <c r="A28" s="10" t="inlineStr">
        <is>
          <t>Category</t>
        </is>
      </c>
      <c r="B28" s="10" t="inlineStr">
        <is>
          <t>Budget YTD</t>
        </is>
      </c>
      <c r="C28" s="10" t="inlineStr">
        <is>
          <t>Actual YTD</t>
        </is>
      </c>
      <c r="D28" s="10" t="inlineStr">
        <is>
          <t>Variance</t>
        </is>
      </c>
      <c r="E28" s="10" t="inlineStr">
        <is>
          <t>Variance %</t>
        </is>
      </c>
      <c r="F28" s="10" t="inlineStr">
        <is>
          <t>Status</t>
        </is>
      </c>
    </row>
    <row r="29">
      <c r="A29" t="inlineStr">
        <is>
          <t>Software &amp; Subscriptions</t>
        </is>
      </c>
      <c r="B29" s="7">
        <f>C18</f>
        <v/>
      </c>
      <c r="C29" s="7">
        <f>H6</f>
        <v/>
      </c>
      <c r="D29" s="14">
        <f>C29-B29</f>
        <v/>
      </c>
      <c r="E29" s="15">
        <f>IFERROR(D29/B29,0)</f>
        <v/>
      </c>
      <c r="F29">
        <f>IF(D29&gt;0,"OVER","Within budget")</f>
        <v/>
      </c>
    </row>
    <row r="30">
      <c r="A30" t="inlineStr">
        <is>
          <t>Contractors</t>
        </is>
      </c>
      <c r="B30" s="7">
        <f>C19</f>
        <v/>
      </c>
      <c r="C30" s="7">
        <f>H7</f>
        <v/>
      </c>
      <c r="D30" s="14">
        <f>C30-B30</f>
        <v/>
      </c>
      <c r="E30" s="15">
        <f>IFERROR(D30/B30,0)</f>
        <v/>
      </c>
      <c r="F30">
        <f>IF(D30&gt;0,"OVER","Within budget")</f>
        <v/>
      </c>
    </row>
    <row r="31">
      <c r="A31" t="inlineStr">
        <is>
          <t>Marketing</t>
        </is>
      </c>
      <c r="B31" s="7">
        <f>C20</f>
        <v/>
      </c>
      <c r="C31" s="7">
        <f>H8</f>
        <v/>
      </c>
      <c r="D31" s="14">
        <f>C31-B31</f>
        <v/>
      </c>
      <c r="E31" s="15">
        <f>IFERROR(D31/B31,0)</f>
        <v/>
      </c>
      <c r="F31">
        <f>IF(D31&gt;0,"OVER","Within budget")</f>
        <v/>
      </c>
    </row>
    <row r="32">
      <c r="A32" t="inlineStr">
        <is>
          <t>Travel</t>
        </is>
      </c>
      <c r="B32" s="7">
        <f>C21</f>
        <v/>
      </c>
      <c r="C32" s="7">
        <f>H9</f>
        <v/>
      </c>
      <c r="D32" s="14">
        <f>C32-B32</f>
        <v/>
      </c>
      <c r="E32" s="15">
        <f>IFERROR(D32/B32,0)</f>
        <v/>
      </c>
      <c r="F32">
        <f>IF(D32&gt;0,"OVER","Within budget")</f>
        <v/>
      </c>
    </row>
    <row r="33">
      <c r="A33" t="inlineStr">
        <is>
          <t>Office &amp; Supplies</t>
        </is>
      </c>
      <c r="B33" s="7">
        <f>C22</f>
        <v/>
      </c>
      <c r="C33" s="7">
        <f>H10</f>
        <v/>
      </c>
      <c r="D33" s="14">
        <f>C33-B33</f>
        <v/>
      </c>
      <c r="E33" s="15">
        <f>IFERROR(D33/B33,0)</f>
        <v/>
      </c>
      <c r="F33">
        <f>IF(D33&gt;0,"OVER","Within budget")</f>
        <v/>
      </c>
    </row>
    <row r="34">
      <c r="A34" t="inlineStr">
        <is>
          <t>Professional Fees</t>
        </is>
      </c>
      <c r="B34" s="7">
        <f>C23</f>
        <v/>
      </c>
      <c r="C34" s="7">
        <f>H11</f>
        <v/>
      </c>
      <c r="D34" s="14">
        <f>C34-B34</f>
        <v/>
      </c>
      <c r="E34" s="15">
        <f>IFERROR(D34/B34,0)</f>
        <v/>
      </c>
      <c r="F34">
        <f>IF(D34&gt;0,"OVER","Within budget")</f>
        <v/>
      </c>
    </row>
    <row r="35">
      <c r="A35" t="inlineStr">
        <is>
          <t>Bank &amp; Payment Fees</t>
        </is>
      </c>
      <c r="B35" s="7">
        <f>C24</f>
        <v/>
      </c>
      <c r="C35" s="7">
        <f>H12</f>
        <v/>
      </c>
      <c r="D35" s="14">
        <f>C35-B35</f>
        <v/>
      </c>
      <c r="E35" s="15">
        <f>IFERROR(D35/B35,0)</f>
        <v/>
      </c>
      <c r="F35">
        <f>IF(D35&gt;0,"OVER","Within budget")</f>
        <v/>
      </c>
    </row>
    <row r="36">
      <c r="A36" t="inlineStr">
        <is>
          <t>Training</t>
        </is>
      </c>
      <c r="B36" s="7">
        <f>C25</f>
        <v/>
      </c>
      <c r="C36" s="7">
        <f>H13</f>
        <v/>
      </c>
      <c r="D36" s="14">
        <f>C36-B36</f>
        <v/>
      </c>
      <c r="E36" s="15">
        <f>IFERROR(D36/B36,0)</f>
        <v/>
      </c>
      <c r="F36">
        <f>IF(D36&gt;0,"OVER","Within budget")</f>
        <v/>
      </c>
    </row>
  </sheetData>
  <conditionalFormatting sqref="F29:F36">
    <cfRule type="cellIs" priority="1" operator="equal" dxfId="0">
      <formula>"OVER"</formula>
    </cfRule>
  </conditionalFormatting>
  <conditionalFormatting sqref="D29:D36"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6" customWidth="1" min="6" max="6"/>
    <col width="3" customWidth="1" min="7" max="7"/>
    <col width="20" customWidth="1" min="8" max="8"/>
    <col width="3" customWidth="1" min="9" max="9"/>
  </cols>
  <sheetData>
    <row r="2">
      <c r="B2" s="16" t="inlineStr">
        <is>
          <t>Client Expense Report - H1 2026</t>
        </is>
      </c>
    </row>
    <row r="3">
      <c r="B3" s="2" t="inlineStr">
        <is>
          <t>Solo consulting practice | January-June 2026 | all figures USD</t>
        </is>
      </c>
    </row>
    <row r="5">
      <c r="B5" s="17" t="inlineStr">
        <is>
          <t>TOTAL SPEND YTD</t>
        </is>
      </c>
      <c r="D5" s="17" t="inlineStr">
        <is>
          <t>TOTAL BUDGET YTD</t>
        </is>
      </c>
      <c r="F5" s="17" t="inlineStr">
        <is>
          <t>VARIANCE</t>
        </is>
      </c>
      <c r="H5" s="17" t="inlineStr">
        <is>
          <t>CATEGORIES OVER</t>
        </is>
      </c>
    </row>
    <row r="6">
      <c r="B6" s="18">
        <f>Calc!H14</f>
        <v/>
      </c>
      <c r="D6" s="18">
        <f>SUM(Calc!C18:C25)</f>
        <v/>
      </c>
      <c r="F6" s="19">
        <f>B6-D6</f>
        <v/>
      </c>
      <c r="H6" s="20">
        <f>COUNTIF(Calc!F29:F36,"OVER")</f>
        <v/>
      </c>
    </row>
    <row r="9">
      <c r="B9" s="21" t="inlineStr">
        <is>
          <t>Budget vs actual by category (YTD)</t>
        </is>
      </c>
    </row>
    <row r="10">
      <c r="B10" s="22" t="inlineStr">
        <is>
          <t>Category</t>
        </is>
      </c>
      <c r="C10" s="22" t="inlineStr">
        <is>
          <t>Budget</t>
        </is>
      </c>
      <c r="D10" s="22" t="inlineStr">
        <is>
          <t>Actual</t>
        </is>
      </c>
      <c r="E10" s="22" t="inlineStr">
        <is>
          <t>Variance</t>
        </is>
      </c>
      <c r="F10" s="22" t="inlineStr">
        <is>
          <t>Status</t>
        </is>
      </c>
    </row>
    <row r="11">
      <c r="B11">
        <f>Calc!A29</f>
        <v/>
      </c>
      <c r="C11" s="23">
        <f>Calc!B29</f>
        <v/>
      </c>
      <c r="D11" s="23">
        <f>Calc!C29</f>
        <v/>
      </c>
      <c r="E11" s="24">
        <f>Calc!D29</f>
        <v/>
      </c>
      <c r="F11">
        <f>Calc!F29</f>
        <v/>
      </c>
    </row>
    <row r="12">
      <c r="B12">
        <f>Calc!A30</f>
        <v/>
      </c>
      <c r="C12" s="23">
        <f>Calc!B30</f>
        <v/>
      </c>
      <c r="D12" s="23">
        <f>Calc!C30</f>
        <v/>
      </c>
      <c r="E12" s="24">
        <f>Calc!D30</f>
        <v/>
      </c>
      <c r="F12">
        <f>Calc!F30</f>
        <v/>
      </c>
    </row>
    <row r="13">
      <c r="B13">
        <f>Calc!A31</f>
        <v/>
      </c>
      <c r="C13" s="23">
        <f>Calc!B31</f>
        <v/>
      </c>
      <c r="D13" s="23">
        <f>Calc!C31</f>
        <v/>
      </c>
      <c r="E13" s="24">
        <f>Calc!D31</f>
        <v/>
      </c>
      <c r="F13">
        <f>Calc!F31</f>
        <v/>
      </c>
    </row>
    <row r="14">
      <c r="B14">
        <f>Calc!A32</f>
        <v/>
      </c>
      <c r="C14" s="23">
        <f>Calc!B32</f>
        <v/>
      </c>
      <c r="D14" s="23">
        <f>Calc!C32</f>
        <v/>
      </c>
      <c r="E14" s="24">
        <f>Calc!D32</f>
        <v/>
      </c>
      <c r="F14">
        <f>Calc!F32</f>
        <v/>
      </c>
    </row>
    <row r="15">
      <c r="B15">
        <f>Calc!A33</f>
        <v/>
      </c>
      <c r="C15" s="23">
        <f>Calc!B33</f>
        <v/>
      </c>
      <c r="D15" s="23">
        <f>Calc!C33</f>
        <v/>
      </c>
      <c r="E15" s="24">
        <f>Calc!D33</f>
        <v/>
      </c>
      <c r="F15">
        <f>Calc!F33</f>
        <v/>
      </c>
    </row>
    <row r="16">
      <c r="B16">
        <f>Calc!A34</f>
        <v/>
      </c>
      <c r="C16" s="23">
        <f>Calc!B34</f>
        <v/>
      </c>
      <c r="D16" s="23">
        <f>Calc!C34</f>
        <v/>
      </c>
      <c r="E16" s="24">
        <f>Calc!D34</f>
        <v/>
      </c>
      <c r="F16">
        <f>Calc!F34</f>
        <v/>
      </c>
    </row>
    <row r="17">
      <c r="B17">
        <f>Calc!A35</f>
        <v/>
      </c>
      <c r="C17" s="23">
        <f>Calc!B35</f>
        <v/>
      </c>
      <c r="D17" s="23">
        <f>Calc!C35</f>
        <v/>
      </c>
      <c r="E17" s="24">
        <f>Calc!D35</f>
        <v/>
      </c>
      <c r="F17">
        <f>Calc!F35</f>
        <v/>
      </c>
    </row>
    <row r="18">
      <c r="B18">
        <f>Calc!A36</f>
        <v/>
      </c>
      <c r="C18" s="23">
        <f>Calc!B36</f>
        <v/>
      </c>
      <c r="D18" s="23">
        <f>Calc!C36</f>
        <v/>
      </c>
      <c r="E18" s="24">
        <f>Calc!D36</f>
        <v/>
      </c>
      <c r="F18">
        <f>Calc!F36</f>
        <v/>
      </c>
    </row>
  </sheetData>
  <conditionalFormatting sqref="F11:F18">
    <cfRule type="cellIs" priority="1" operator="equal" dxfId="0">
      <formula>"OVER"</formula>
    </cfRule>
    <cfRule type="cellIs" priority="2" operator="equal" dxfId="1">
      <formula>"Within budget"</formula>
    </cfRule>
  </conditionalFormatting>
  <conditionalFormatting sqref="E11:E18">
    <cfRule type="cellIs" priority="3" operator="greaterThan" dxfId="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2026-09-01T14:55:00Z</dcterms:created>
  <dcterms:modified xsi:type="dcterms:W3CDTF">2026-09-01T14:55:00Z</dcterms:modified>
</cp:coreProperties>
</file>