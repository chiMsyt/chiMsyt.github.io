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Bank" sheetId="2" state="visible" r:id="rId2"/>
    <sheet name="Ledger" sheetId="3" state="visible" r:id="rId3"/>
    <sheet name="Exceptions" sheetId="4" state="visible" r:id="rId4"/>
    <sheet name="AR Aging" sheetId="5" state="visible" r:id="rId5"/>
    <sheet name="AP Payment Run" sheetId="6" state="visible" r:id="rId6"/>
    <sheet name="Dashboard" sheetId="7" state="visible" r:id="rId7"/>
  </sheets>
  <definedNames>
    <definedName name="_xlnm._FilterDatabase" localSheetId="1" hidden="1">'Bank'!$A$4:$H$66</definedName>
    <definedName name="_xlnm._FilterDatabase" localSheetId="2" hidden="1">'Ledger'!$A$4:$J$76</definedName>
    <definedName name="_xlnm._FilterDatabase" localSheetId="5" hidden="1">'AP Payment Run'!$A$4:$F$36</definedName>
  </definedNames>
  <calcPr calcId="124519" fullCalcOnLoad="1"/>
</workbook>
</file>

<file path=xl/styles.xml><?xml version="1.0" encoding="utf-8"?>
<styleSheet xmlns="http://schemas.openxmlformats.org/spreadsheetml/2006/main">
  <numFmts count="2">
    <numFmt numFmtId="164" formatCode="#,##0.00;[Red]-#,##0.00"/>
    <numFmt numFmtId="165" formatCode="yyyy-mm-dd"/>
  </numFmts>
  <fonts count="8">
    <font>
      <name val="Calibri"/>
      <family val="2"/>
      <color theme="1"/>
      <sz val="11"/>
      <scheme val="minor"/>
    </font>
    <font>
      <name val="Calibri"/>
      <b val="1"/>
      <color rgb="001F3346"/>
      <sz val="16"/>
    </font>
    <font>
      <name val="Calibri"/>
      <color rgb="006B7A88"/>
      <sz val="10"/>
    </font>
    <font>
      <name val="Calibri"/>
      <color rgb="006B7A88"/>
      <sz val="9"/>
    </font>
    <font>
      <name val="Calibri"/>
      <b val="1"/>
      <color rgb="001F3346"/>
      <sz val="10"/>
    </font>
    <font>
      <name val="Calibri"/>
      <b val="1"/>
      <color rgb="00FFFFFF"/>
      <sz val="10"/>
    </font>
    <font>
      <name val="Calibri"/>
      <sz val="10"/>
    </font>
    <font>
      <name val="Calibri"/>
      <b val="1"/>
      <color rgb="001F3346"/>
      <sz val="20"/>
    </font>
  </fonts>
  <fills count="4">
    <fill>
      <patternFill/>
    </fill>
    <fill>
      <patternFill patternType="gray125"/>
    </fill>
    <fill>
      <patternFill patternType="solid">
        <fgColor rgb="00F2F6F9"/>
      </patternFill>
    </fill>
    <fill>
      <patternFill patternType="solid">
        <fgColor rgb="001F3346"/>
      </patternFill>
    </fill>
  </fills>
  <borders count="2">
    <border>
      <left/>
      <right/>
      <top/>
      <bottom/>
      <diagonal/>
    </border>
    <border>
      <left style="thin">
        <color rgb="00D7DEE5"/>
      </left>
      <right style="thin">
        <color rgb="00D7DEE5"/>
      </right>
      <top style="thin">
        <color rgb="00D7DEE5"/>
      </top>
      <bottom style="thin">
        <color rgb="00D7DEE5"/>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6" fillId="0" borderId="0" applyAlignment="1" pivotButton="0" quotePrefix="0" xfId="0">
      <alignment vertical="top" wrapText="1"/>
    </xf>
    <xf numFmtId="0" fontId="3" fillId="0" borderId="0" pivotButton="0" quotePrefix="0" xfId="0"/>
    <xf numFmtId="164" fontId="4" fillId="2" borderId="0" pivotButton="0" quotePrefix="0" xfId="0"/>
    <xf numFmtId="0" fontId="5" fillId="3" borderId="1" applyAlignment="1" pivotButton="0" quotePrefix="0" xfId="0">
      <alignment vertical="center" wrapText="1"/>
    </xf>
    <xf numFmtId="165" fontId="6" fillId="0" borderId="1" pivotButton="0" quotePrefix="0" xfId="0"/>
    <xf numFmtId="0" fontId="6" fillId="0" borderId="1" pivotButton="0" quotePrefix="0" xfId="0"/>
    <xf numFmtId="164" fontId="6" fillId="0" borderId="1" pivotButton="0" quotePrefix="0" xfId="0"/>
    <xf numFmtId="0" fontId="4" fillId="0" borderId="1" pivotButton="0" quotePrefix="0" xfId="0"/>
    <xf numFmtId="0" fontId="4" fillId="0" borderId="1" applyAlignment="1" pivotButton="0" quotePrefix="0" xfId="0">
      <alignment horizontal="center"/>
    </xf>
    <xf numFmtId="0" fontId="6" fillId="0" borderId="1" applyAlignment="1" pivotButton="0" quotePrefix="0" xfId="0">
      <alignment vertical="top" wrapText="1"/>
    </xf>
    <xf numFmtId="164" fontId="0" fillId="0" borderId="1" pivotButton="0" quotePrefix="0" xfId="0"/>
    <xf numFmtId="164" fontId="4" fillId="0" borderId="1" pivotButton="0" quotePrefix="0" xfId="0"/>
    <xf numFmtId="1" fontId="7" fillId="0" borderId="0" pivotButton="0" quotePrefix="0" xfId="0"/>
    <xf numFmtId="164" fontId="7" fillId="0" borderId="0" pivotButton="0" quotePrefix="0" xfId="0"/>
    <xf numFmtId="164" fontId="4" fillId="0" borderId="0" pivotButton="0" quotePrefix="0" xfId="0"/>
  </cellXfs>
  <cellStyles count="1">
    <cellStyle name="Normal" xfId="0" builtinId="0" hidden="0"/>
  </cellStyles>
  <dxfs count="4">
    <dxf>
      <fill>
        <patternFill patternType="solid">
          <fgColor rgb="00FDECEA"/>
        </patternFill>
      </fill>
    </dxf>
    <dxf>
      <fill>
        <patternFill patternType="solid">
          <fgColor rgb="00FFF4E5"/>
        </patternFill>
      </fill>
    </dxf>
    <dxf>
      <fill>
        <patternFill patternType="solid">
          <fgColor rgb="00EAF6EC"/>
        </patternFill>
      </fill>
    </dxf>
    <dxf>
      <font>
        <b val="1"/>
      </font>
      <fill>
        <patternFill patternType="solid">
          <fgColor rgb="00FFF4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3"/>
  <sheetViews>
    <sheetView showGridLines="0" workbookViewId="0">
      <selection activeCell="A1" sqref="A1"/>
    </sheetView>
  </sheetViews>
  <sheetFormatPr baseColWidth="8" defaultRowHeight="15"/>
  <cols>
    <col width="3" customWidth="1" min="1" max="1"/>
    <col width="108" customWidth="1" min="2" max="2"/>
  </cols>
  <sheetData>
    <row r="2">
      <c r="B2" s="1" t="inlineStr">
        <is>
          <t>Bank Reconciliation and AP/AR workbook</t>
        </is>
      </c>
    </row>
    <row r="3">
      <c r="B3" s="2" t="inlineStr">
        <is>
          <t>Timothy Ting - work sample - chimsyt.github.io</t>
        </is>
      </c>
    </row>
    <row r="6">
      <c r="B6" s="3" t="inlineStr">
        <is>
          <t>What it does</t>
        </is>
      </c>
    </row>
    <row r="8" ht="51" customHeight="1">
      <c r="B8" s="4" t="inlineStr">
        <is>
          <t>Takes a bank statement and a ledger of invoices and bills, matches them against each other, and reports what does not reconcile - from both directions. It then ages the receivables and builds the week's supplier payment run from the same data, so nothing is typed twice.</t>
        </is>
      </c>
    </row>
    <row r="10">
      <c r="B10" s="3" t="inlineStr">
        <is>
          <t>How to use it</t>
        </is>
      </c>
    </row>
    <row r="12" ht="21" customHeight="1">
      <c r="B12" s="4" t="inlineStr">
        <is>
          <t>1. Paste new bank lines into Bank columns A to D, under the last row.</t>
        </is>
      </c>
    </row>
    <row r="13" ht="36" customHeight="1">
      <c r="B13" s="4" t="inlineStr">
        <is>
          <t>2. Enter invoices and bills in Ledger columns A to F. One row per document, never one row per payment.</t>
        </is>
      </c>
    </row>
    <row r="14" ht="21" customHeight="1">
      <c r="B14" s="4" t="inlineStr">
        <is>
          <t>3. Read Exceptions. If everything there is zero, the period reconciles.</t>
        </is>
      </c>
    </row>
    <row r="15" ht="36" customHeight="1">
      <c r="B15" s="4" t="inlineStr">
        <is>
          <t>4. AR Aging tells you who to chase. AP Payment Run is the week's payments - filter column A for Yes.</t>
        </is>
      </c>
    </row>
    <row r="16" ht="21" customHeight="1">
      <c r="B16" s="4" t="inlineStr">
        <is>
          <t>Every other column is a formula and rebuilds itself. Do not overwrite them.</t>
        </is>
      </c>
    </row>
    <row r="18">
      <c r="B18" s="3" t="inlineStr">
        <is>
          <t>Design decisions, and why</t>
        </is>
      </c>
    </row>
    <row r="20" ht="51" customHeight="1">
      <c r="B20" s="4" t="inlineStr">
        <is>
          <t>Whole-column references. A bounded range like E2:E150 breaks silently when somebody pastes in a longer month - it keeps calculating and reports a wrong number for that month. Whole columns cost a little speed and remove a whole class of silent error.</t>
        </is>
      </c>
    </row>
    <row r="21" ht="66" customHeight="1">
      <c r="B21" s="4" t="inlineStr">
        <is>
          <t>Matching on amount and direction, not description. Bank descriptions are free text the bank invents and they never match the ledger reliably. Direction matters too: money in can only settle an invoice, money out can only settle a bill - without that, a 500 refund would happily match a 500 supplier bill.</t>
        </is>
      </c>
    </row>
    <row r="22" ht="51" customHeight="1">
      <c r="B22" s="4" t="inlineStr">
        <is>
          <t>Exceptions reported from both sides. Bank lines with no ledger entry, and ledger entries with no bank line. Most reconciliation sheets only check one direction, which hides half the errors: a bill entered twice and paid once is invisible from the bank side.</t>
        </is>
      </c>
    </row>
    <row r="23" ht="51" customHeight="1">
      <c r="B23" s="4" t="inlineStr">
        <is>
          <t>Ambiguity is flagged, never guessed. Two payments of the same amount cannot be told apart by amount alone, so the sheet says REVIEW and stops. This is the known limitation of matching on amount and it is deliberately visible rather than hidden.</t>
        </is>
      </c>
    </row>
    <row r="24" ht="36" customHeight="1">
      <c r="B24" s="4" t="inlineStr">
        <is>
          <t>No hardcoded dates. Aging and the payment run use TODAY(), so the workbook is still correct next month with no edits.</t>
        </is>
      </c>
    </row>
    <row r="25" ht="36" customHeight="1">
      <c r="B25" s="4" t="inlineStr">
        <is>
          <t>Formulas restricted to SUMIFS, COUNTIFS, SUMPRODUCT, IFERROR and TEXT, so it behaves identically in Google Sheets and in Excel, including older Excel without XLOOKUP or dynamic arrays.</t>
        </is>
      </c>
    </row>
    <row r="27">
      <c r="B27" s="3" t="inlineStr">
        <is>
          <t>How it is checked</t>
        </is>
      </c>
    </row>
    <row r="29" ht="66" customHeight="1">
      <c r="B29" s="4" t="inlineStr">
        <is>
          <t>verify-reconciliation.py recomputes every headline figure independently, in Python, straight from the raw data - and fails if its answer disagrees with the workbook's. The sample data has four problems planted in it on purpose: a payment with no bill behind it, the same supplier paid twice, an unmapped merchant fee, and an unidentified deposit. The checker asserts the workbook finds all four.</t>
        </is>
      </c>
    </row>
    <row r="31">
      <c r="B31" s="3" t="inlineStr">
        <is>
          <t>Honest note</t>
        </is>
      </c>
    </row>
    <row r="33" ht="36" customHeight="1">
      <c r="B33" s="4" t="inlineStr">
        <is>
          <t>The data is synthetic and the business is invented. This is a demonstration of method, not client work, and it is not presented as anything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6"/>
  <sheetViews>
    <sheetView showGridLines="1" workbookViewId="0">
      <pane ySplit="4" topLeftCell="A5" activePane="bottomLeft" state="frozen"/>
      <selection pane="bottomLeft" activeCell="A1" sqref="A1"/>
    </sheetView>
  </sheetViews>
  <sheetFormatPr baseColWidth="8" defaultRowHeight="15"/>
  <cols>
    <col width="12" customWidth="1" min="1" max="1"/>
    <col width="34" customWidth="1" min="2" max="2"/>
    <col width="13" customWidth="1" min="3" max="3"/>
    <col width="13" customWidth="1" min="4" max="4"/>
    <col width="13" customWidth="1" min="5" max="5"/>
    <col width="16" customWidth="1" min="6" max="6"/>
    <col width="11" customWidth="1" min="7" max="7"/>
    <col width="30" customWidth="1" min="8" max="8"/>
  </cols>
  <sheetData>
    <row r="1">
      <c r="A1" s="1" t="inlineStr">
        <is>
          <t>Bank statement - paste new lines under the last row</t>
        </is>
      </c>
    </row>
    <row r="2">
      <c r="A2" s="2" t="inlineStr">
        <is>
          <t>Columns A-D are the only ones you type. E to H are formulas and rebuild themselves; do not overwrite them.</t>
        </is>
      </c>
      <c r="F2" s="5" t="inlineStr">
        <is>
          <t>Opening balance</t>
        </is>
      </c>
      <c r="G2" s="6" t="n">
        <v>0</v>
      </c>
      <c r="H2" s="5" t="inlineStr">
        <is>
          <t>&lt;- type these two from the statement</t>
        </is>
      </c>
    </row>
    <row r="3">
      <c r="F3" s="5" t="inlineStr">
        <is>
          <t>Closing balance per statement</t>
        </is>
      </c>
      <c r="G3" s="6" t="n">
        <v>80090.67999999999</v>
      </c>
    </row>
    <row r="4" ht="26" customHeight="1">
      <c r="A4" s="7" t="inlineStr">
        <is>
          <t>Date</t>
        </is>
      </c>
      <c r="B4" s="7" t="inlineStr">
        <is>
          <t>Bank description</t>
        </is>
      </c>
      <c r="C4" s="7" t="inlineStr">
        <is>
          <t>Money in</t>
        </is>
      </c>
      <c r="D4" s="7" t="inlineStr">
        <is>
          <t>Money out</t>
        </is>
      </c>
      <c r="E4" s="7" t="inlineStr">
        <is>
          <t>Net</t>
        </is>
      </c>
      <c r="F4" s="7" t="inlineStr">
        <is>
          <t>Match key</t>
        </is>
      </c>
      <c r="G4" s="7" t="inlineStr">
        <is>
          <t>In ledger</t>
        </is>
      </c>
      <c r="H4" s="7" t="inlineStr">
        <is>
          <t>Status</t>
        </is>
      </c>
    </row>
    <row r="5">
      <c r="A5" s="8" t="n">
        <v>46185</v>
      </c>
      <c r="B5" s="9" t="inlineStr">
        <is>
          <t>EFT PMT DRUM &amp; CAN PACKAGI</t>
        </is>
      </c>
      <c r="C5" s="10" t="n"/>
      <c r="D5" s="10" t="n">
        <v>4716.58</v>
      </c>
      <c r="E5" s="10">
        <f>N(C5)-N(D5)</f>
        <v/>
      </c>
      <c r="F5" s="9">
        <f>IF(E5=0,"",TEXT(ABS(E5),"0.00")&amp;"|"&amp;IF(E5&gt;0,"AR","AP"))</f>
        <v/>
      </c>
      <c r="G5" s="9">
        <f>IF(F5="","",COUNTIF(Ledger!$H:$H,F5))</f>
        <v/>
      </c>
      <c r="H5" s="9">
        <f>IF(F5="","",IF(COUNTIF($F:$F,F5)&gt;1,"REVIEW - same amount appears twice",IF(G5=0,"UNMATCHED - no ledger entry",IF(G5&gt;1,"REVIEW - matches several ledger entries","Matched"))))</f>
        <v/>
      </c>
    </row>
    <row r="6">
      <c r="A6" s="8" t="n">
        <v>46191</v>
      </c>
      <c r="B6" s="9" t="inlineStr">
        <is>
          <t>EFT PMT TRANSTATE FREIGHT</t>
        </is>
      </c>
      <c r="C6" s="10" t="n"/>
      <c r="D6" s="10" t="n">
        <v>3949.01</v>
      </c>
      <c r="E6" s="10">
        <f>N(C6)-N(D6)</f>
        <v/>
      </c>
      <c r="F6" s="9">
        <f>IF(E6=0,"",TEXT(ABS(E6),"0.00")&amp;"|"&amp;IF(E6&gt;0,"AR","AP"))</f>
        <v/>
      </c>
      <c r="G6" s="9">
        <f>IF(F6="","",COUNTIF(Ledger!$H:$H,F6))</f>
        <v/>
      </c>
      <c r="H6" s="9">
        <f>IF(F6="","",IF(COUNTIF($F:$F,F6)&gt;1,"REVIEW - same amount appears twice",IF(G6=0,"UNMATCHED - no ledger entry",IF(G6&gt;1,"REVIEW - matches several ledger entries","Matched"))))</f>
        <v/>
      </c>
    </row>
    <row r="7">
      <c r="A7" s="8" t="n">
        <v>46196</v>
      </c>
      <c r="B7" s="9" t="inlineStr">
        <is>
          <t>EFT PMT TRANSTATE FREIGHT</t>
        </is>
      </c>
      <c r="C7" s="10" t="n"/>
      <c r="D7" s="10" t="n">
        <v>4741.94</v>
      </c>
      <c r="E7" s="10">
        <f>N(C7)-N(D7)</f>
        <v/>
      </c>
      <c r="F7" s="9">
        <f>IF(E7=0,"",TEXT(ABS(E7),"0.00")&amp;"|"&amp;IF(E7&gt;0,"AR","AP"))</f>
        <v/>
      </c>
      <c r="G7" s="9">
        <f>IF(F7="","",COUNTIF(Ledger!$H:$H,F7))</f>
        <v/>
      </c>
      <c r="H7" s="9">
        <f>IF(F7="","",IF(COUNTIF($F:$F,F7)&gt;1,"REVIEW - same amount appears twice",IF(G7=0,"UNMATCHED - no ledger entry",IF(G7&gt;1,"REVIEW - matches several ledger entries","Matched"))))</f>
        <v/>
      </c>
    </row>
    <row r="8">
      <c r="A8" s="8" t="n">
        <v>46196</v>
      </c>
      <c r="B8" s="9" t="inlineStr">
        <is>
          <t>EFT PMT TRANSTATE FREIGHT</t>
        </is>
      </c>
      <c r="C8" s="10" t="n"/>
      <c r="D8" s="10" t="n">
        <v>2157.35</v>
      </c>
      <c r="E8" s="10">
        <f>N(C8)-N(D8)</f>
        <v/>
      </c>
      <c r="F8" s="9">
        <f>IF(E8=0,"",TEXT(ABS(E8),"0.00")&amp;"|"&amp;IF(E8&gt;0,"AR","AP"))</f>
        <v/>
      </c>
      <c r="G8" s="9">
        <f>IF(F8="","",COUNTIF(Ledger!$H:$H,F8))</f>
        <v/>
      </c>
      <c r="H8" s="9">
        <f>IF(F8="","",IF(COUNTIF($F:$F,F8)&gt;1,"REVIEW - same amount appears twice",IF(G8=0,"UNMATCHED - no ledger entry",IF(G8&gt;1,"REVIEW - matches several ledger entries","Matched"))))</f>
        <v/>
      </c>
    </row>
    <row r="9">
      <c r="A9" s="8" t="n">
        <v>46201</v>
      </c>
      <c r="B9" s="9" t="inlineStr">
        <is>
          <t>EFT PMT DRUM &amp; CAN PACKAGI</t>
        </is>
      </c>
      <c r="C9" s="10" t="n"/>
      <c r="D9" s="10" t="n">
        <v>731.3200000000001</v>
      </c>
      <c r="E9" s="10">
        <f>N(C9)-N(D9)</f>
        <v/>
      </c>
      <c r="F9" s="9">
        <f>IF(E9=0,"",TEXT(ABS(E9),"0.00")&amp;"|"&amp;IF(E9&gt;0,"AR","AP"))</f>
        <v/>
      </c>
      <c r="G9" s="9">
        <f>IF(F9="","",COUNTIF(Ledger!$H:$H,F9))</f>
        <v/>
      </c>
      <c r="H9" s="9">
        <f>IF(F9="","",IF(COUNTIF($F:$F,F9)&gt;1,"REVIEW - same amount appears twice",IF(G9=0,"UNMATCHED - no ledger entry",IF(G9&gt;1,"REVIEW - matches several ledger entries","Matched"))))</f>
        <v/>
      </c>
    </row>
    <row r="10">
      <c r="A10" s="8" t="n">
        <v>46205</v>
      </c>
      <c r="B10" s="9" t="inlineStr">
        <is>
          <t>EFT PMT OFFICEWORKS TRADE</t>
        </is>
      </c>
      <c r="C10" s="10" t="n"/>
      <c r="D10" s="10" t="n">
        <v>4292.47</v>
      </c>
      <c r="E10" s="10">
        <f>N(C10)-N(D10)</f>
        <v/>
      </c>
      <c r="F10" s="9">
        <f>IF(E10=0,"",TEXT(ABS(E10),"0.00")&amp;"|"&amp;IF(E10&gt;0,"AR","AP"))</f>
        <v/>
      </c>
      <c r="G10" s="9">
        <f>IF(F10="","",COUNTIF(Ledger!$H:$H,F10))</f>
        <v/>
      </c>
      <c r="H10" s="9">
        <f>IF(F10="","",IF(COUNTIF($F:$F,F10)&gt;1,"REVIEW - same amount appears twice",IF(G10=0,"UNMATCHED - no ledger entry",IF(G10&gt;1,"REVIEW - matches several ledger entries","Matched"))))</f>
        <v/>
      </c>
    </row>
    <row r="11">
      <c r="A11" s="8" t="n">
        <v>46206</v>
      </c>
      <c r="B11" s="9" t="inlineStr">
        <is>
          <t>DEPOSIT HARDING CONSTRUCTI</t>
        </is>
      </c>
      <c r="C11" s="10" t="n">
        <v>4754.33</v>
      </c>
      <c r="D11" s="10" t="n"/>
      <c r="E11" s="10">
        <f>N(C11)-N(D11)</f>
        <v/>
      </c>
      <c r="F11" s="9">
        <f>IF(E11=0,"",TEXT(ABS(E11),"0.00")&amp;"|"&amp;IF(E11&gt;0,"AR","AP"))</f>
        <v/>
      </c>
      <c r="G11" s="9">
        <f>IF(F11="","",COUNTIF(Ledger!$H:$H,F11))</f>
        <v/>
      </c>
      <c r="H11" s="9">
        <f>IF(F11="","",IF(COUNTIF($F:$F,F11)&gt;1,"REVIEW - same amount appears twice",IF(G11=0,"UNMATCHED - no ledger entry",IF(G11&gt;1,"REVIEW - matches several ledger entries","Matched"))))</f>
        <v/>
      </c>
    </row>
    <row r="12">
      <c r="A12" s="8" t="n">
        <v>46207</v>
      </c>
      <c r="B12" s="9" t="inlineStr">
        <is>
          <t>DEPOSIT HARDING CONSTRUCTI</t>
        </is>
      </c>
      <c r="C12" s="10" t="n">
        <v>4788.59</v>
      </c>
      <c r="D12" s="10" t="n"/>
      <c r="E12" s="10">
        <f>N(C12)-N(D12)</f>
        <v/>
      </c>
      <c r="F12" s="9">
        <f>IF(E12=0,"",TEXT(ABS(E12),"0.00")&amp;"|"&amp;IF(E12&gt;0,"AR","AP"))</f>
        <v/>
      </c>
      <c r="G12" s="9">
        <f>IF(F12="","",COUNTIF(Ledger!$H:$H,F12))</f>
        <v/>
      </c>
      <c r="H12" s="9">
        <f>IF(F12="","",IF(COUNTIF($F:$F,F12)&gt;1,"REVIEW - same amount appears twice",IF(G12=0,"UNMATCHED - no ledger entry",IF(G12&gt;1,"REVIEW - matches several ledger entries","Matched"))))</f>
        <v/>
      </c>
    </row>
    <row r="13">
      <c r="A13" s="8" t="n">
        <v>46207</v>
      </c>
      <c r="B13" s="9" t="inlineStr">
        <is>
          <t>EFT PMT RAWLINS RESIN</t>
        </is>
      </c>
      <c r="C13" s="10" t="n"/>
      <c r="D13" s="10" t="n">
        <v>4048.45</v>
      </c>
      <c r="E13" s="10">
        <f>N(C13)-N(D13)</f>
        <v/>
      </c>
      <c r="F13" s="9">
        <f>IF(E13=0,"",TEXT(ABS(E13),"0.00")&amp;"|"&amp;IF(E13&gt;0,"AR","AP"))</f>
        <v/>
      </c>
      <c r="G13" s="9">
        <f>IF(F13="","",COUNTIF(Ledger!$H:$H,F13))</f>
        <v/>
      </c>
      <c r="H13" s="9">
        <f>IF(F13="","",IF(COUNTIF($F:$F,F13)&gt;1,"REVIEW - same amount appears twice",IF(G13=0,"UNMATCHED - no ledger entry",IF(G13&gt;1,"REVIEW - matches several ledger entries","Matched"))))</f>
        <v/>
      </c>
    </row>
    <row r="14">
      <c r="A14" s="8" t="n">
        <v>46208</v>
      </c>
      <c r="B14" s="9" t="inlineStr">
        <is>
          <t>DEPOSIT VALE &amp; SONS PAINTI</t>
        </is>
      </c>
      <c r="C14" s="10" t="n">
        <v>7286.17</v>
      </c>
      <c r="D14" s="10" t="n"/>
      <c r="E14" s="10">
        <f>N(C14)-N(D14)</f>
        <v/>
      </c>
      <c r="F14" s="9">
        <f>IF(E14=0,"",TEXT(ABS(E14),"0.00")&amp;"|"&amp;IF(E14&gt;0,"AR","AP"))</f>
        <v/>
      </c>
      <c r="G14" s="9">
        <f>IF(F14="","",COUNTIF(Ledger!$H:$H,F14))</f>
        <v/>
      </c>
      <c r="H14" s="9">
        <f>IF(F14="","",IF(COUNTIF($F:$F,F14)&gt;1,"REVIEW - same amount appears twice",IF(G14=0,"UNMATCHED - no ledger entry",IF(G14&gt;1,"REVIEW - matches several ledger entries","Matched"))))</f>
        <v/>
      </c>
    </row>
    <row r="15">
      <c r="A15" s="8" t="n">
        <v>46210</v>
      </c>
      <c r="B15" s="9" t="inlineStr">
        <is>
          <t>DEPOSIT ELLERSLIE FITOUT</t>
        </is>
      </c>
      <c r="C15" s="10" t="n">
        <v>7189.14</v>
      </c>
      <c r="D15" s="10" t="n"/>
      <c r="E15" s="10">
        <f>N(C15)-N(D15)</f>
        <v/>
      </c>
      <c r="F15" s="9">
        <f>IF(E15=0,"",TEXT(ABS(E15),"0.00")&amp;"|"&amp;IF(E15&gt;0,"AR","AP"))</f>
        <v/>
      </c>
      <c r="G15" s="9">
        <f>IF(F15="","",COUNTIF(Ledger!$H:$H,F15))</f>
        <v/>
      </c>
      <c r="H15" s="9">
        <f>IF(F15="","",IF(COUNTIF($F:$F,F15)&gt;1,"REVIEW - same amount appears twice",IF(G15=0,"UNMATCHED - no ledger entry",IF(G15&gt;1,"REVIEW - matches several ledger entries","Matched"))))</f>
        <v/>
      </c>
    </row>
    <row r="16">
      <c r="A16" s="8" t="n">
        <v>46211</v>
      </c>
      <c r="B16" s="9" t="inlineStr">
        <is>
          <t>DEPOSIT VALE &amp; SONS PAINTI</t>
        </is>
      </c>
      <c r="C16" s="10" t="n">
        <v>6707.58</v>
      </c>
      <c r="D16" s="10" t="n"/>
      <c r="E16" s="10">
        <f>N(C16)-N(D16)</f>
        <v/>
      </c>
      <c r="F16" s="9">
        <f>IF(E16=0,"",TEXT(ABS(E16),"0.00")&amp;"|"&amp;IF(E16&gt;0,"AR","AP"))</f>
        <v/>
      </c>
      <c r="G16" s="9">
        <f>IF(F16="","",COUNTIF(Ledger!$H:$H,F16))</f>
        <v/>
      </c>
      <c r="H16" s="9">
        <f>IF(F16="","",IF(COUNTIF($F:$F,F16)&gt;1,"REVIEW - same amount appears twice",IF(G16=0,"UNMATCHED - no ledger entry",IF(G16&gt;1,"REVIEW - matches several ledger entries","Matched"))))</f>
        <v/>
      </c>
    </row>
    <row r="17">
      <c r="A17" s="8" t="n">
        <v>46211</v>
      </c>
      <c r="B17" s="9" t="inlineStr">
        <is>
          <t>DEPOSIT DOCKSIDE MARINE</t>
        </is>
      </c>
      <c r="C17" s="10" t="n">
        <v>5104.92</v>
      </c>
      <c r="D17" s="10" t="n"/>
      <c r="E17" s="10">
        <f>N(C17)-N(D17)</f>
        <v/>
      </c>
      <c r="F17" s="9">
        <f>IF(E17=0,"",TEXT(ABS(E17),"0.00")&amp;"|"&amp;IF(E17&gt;0,"AR","AP"))</f>
        <v/>
      </c>
      <c r="G17" s="9">
        <f>IF(F17="","",COUNTIF(Ledger!$H:$H,F17))</f>
        <v/>
      </c>
      <c r="H17" s="9">
        <f>IF(F17="","",IF(COUNTIF($F:$F,F17)&gt;1,"REVIEW - same amount appears twice",IF(G17=0,"UNMATCHED - no ledger entry",IF(G17&gt;1,"REVIEW - matches several ledger entries","Matched"))))</f>
        <v/>
      </c>
    </row>
    <row r="18">
      <c r="A18" s="8" t="n">
        <v>46211</v>
      </c>
      <c r="B18" s="9" t="inlineStr">
        <is>
          <t>DEPOSIT BAYLINE INTERIORS</t>
        </is>
      </c>
      <c r="C18" s="10" t="n">
        <v>8947.360000000001</v>
      </c>
      <c r="D18" s="10" t="n"/>
      <c r="E18" s="10">
        <f>N(C18)-N(D18)</f>
        <v/>
      </c>
      <c r="F18" s="9">
        <f>IF(E18=0,"",TEXT(ABS(E18),"0.00")&amp;"|"&amp;IF(E18&gt;0,"AR","AP"))</f>
        <v/>
      </c>
      <c r="G18" s="9">
        <f>IF(F18="","",COUNTIF(Ledger!$H:$H,F18))</f>
        <v/>
      </c>
      <c r="H18" s="9">
        <f>IF(F18="","",IF(COUNTIF($F:$F,F18)&gt;1,"REVIEW - same amount appears twice",IF(G18=0,"UNMATCHED - no ledger entry",IF(G18&gt;1,"REVIEW - matches several ledger entries","Matched"))))</f>
        <v/>
      </c>
    </row>
    <row r="19">
      <c r="A19" s="8" t="n">
        <v>46212</v>
      </c>
      <c r="B19" s="9" t="inlineStr">
        <is>
          <t>DEPOSIT BAYLINE INTERIORS</t>
        </is>
      </c>
      <c r="C19" s="10" t="n">
        <v>2850.99</v>
      </c>
      <c r="D19" s="10" t="n"/>
      <c r="E19" s="10">
        <f>N(C19)-N(D19)</f>
        <v/>
      </c>
      <c r="F19" s="9">
        <f>IF(E19=0,"",TEXT(ABS(E19),"0.00")&amp;"|"&amp;IF(E19&gt;0,"AR","AP"))</f>
        <v/>
      </c>
      <c r="G19" s="9">
        <f>IF(F19="","",COUNTIF(Ledger!$H:$H,F19))</f>
        <v/>
      </c>
      <c r="H19" s="9">
        <f>IF(F19="","",IF(COUNTIF($F:$F,F19)&gt;1,"REVIEW - same amount appears twice",IF(G19=0,"UNMATCHED - no ledger entry",IF(G19&gt;1,"REVIEW - matches several ledger entries","Matched"))))</f>
        <v/>
      </c>
    </row>
    <row r="20">
      <c r="A20" s="8" t="n">
        <v>46212</v>
      </c>
      <c r="B20" s="9" t="inlineStr">
        <is>
          <t>EFT PMT DRUM &amp; CAN PACKAGI</t>
        </is>
      </c>
      <c r="C20" s="10" t="n"/>
      <c r="D20" s="10" t="n">
        <v>835.9400000000001</v>
      </c>
      <c r="E20" s="10">
        <f>N(C20)-N(D20)</f>
        <v/>
      </c>
      <c r="F20" s="9">
        <f>IF(E20=0,"",TEXT(ABS(E20),"0.00")&amp;"|"&amp;IF(E20&gt;0,"AR","AP"))</f>
        <v/>
      </c>
      <c r="G20" s="9">
        <f>IF(F20="","",COUNTIF(Ledger!$H:$H,F20))</f>
        <v/>
      </c>
      <c r="H20" s="9">
        <f>IF(F20="","",IF(COUNTIF($F:$F,F20)&gt;1,"REVIEW - same amount appears twice",IF(G20=0,"UNMATCHED - no ledger entry",IF(G20&gt;1,"REVIEW - matches several ledger entries","Matched"))))</f>
        <v/>
      </c>
    </row>
    <row r="21">
      <c r="A21" s="8" t="n">
        <v>46212</v>
      </c>
      <c r="B21" s="9" t="inlineStr">
        <is>
          <t>EFT PMT SOUTHLINE LOGISTIC</t>
        </is>
      </c>
      <c r="C21" s="10" t="n"/>
      <c r="D21" s="10" t="n">
        <v>4594.74</v>
      </c>
      <c r="E21" s="10">
        <f>N(C21)-N(D21)</f>
        <v/>
      </c>
      <c r="F21" s="9">
        <f>IF(E21=0,"",TEXT(ABS(E21),"0.00")&amp;"|"&amp;IF(E21&gt;0,"AR","AP"))</f>
        <v/>
      </c>
      <c r="G21" s="9">
        <f>IF(F21="","",COUNTIF(Ledger!$H:$H,F21))</f>
        <v/>
      </c>
      <c r="H21" s="9">
        <f>IF(F21="","",IF(COUNTIF($F:$F,F21)&gt;1,"REVIEW - same amount appears twice",IF(G21=0,"UNMATCHED - no ledger entry",IF(G21&gt;1,"REVIEW - matches several ledger entries","Matched"))))</f>
        <v/>
      </c>
    </row>
    <row r="22">
      <c r="A22" s="8" t="n">
        <v>46213</v>
      </c>
      <c r="B22" s="9" t="inlineStr">
        <is>
          <t>EFT PMT SOLVENT DIRECT</t>
        </is>
      </c>
      <c r="C22" s="10" t="n"/>
      <c r="D22" s="10" t="n">
        <v>4436.19</v>
      </c>
      <c r="E22" s="10">
        <f>N(C22)-N(D22)</f>
        <v/>
      </c>
      <c r="F22" s="9">
        <f>IF(E22=0,"",TEXT(ABS(E22),"0.00")&amp;"|"&amp;IF(E22&gt;0,"AR","AP"))</f>
        <v/>
      </c>
      <c r="G22" s="9">
        <f>IF(F22="","",COUNTIF(Ledger!$H:$H,F22))</f>
        <v/>
      </c>
      <c r="H22" s="9">
        <f>IF(F22="","",IF(COUNTIF($F:$F,F22)&gt;1,"REVIEW - same amount appears twice",IF(G22=0,"UNMATCHED - no ledger entry",IF(G22&gt;1,"REVIEW - matches several ledger entries","Matched"))))</f>
        <v/>
      </c>
    </row>
    <row r="23">
      <c r="A23" s="8" t="n">
        <v>46214</v>
      </c>
      <c r="B23" s="9" t="inlineStr">
        <is>
          <t>DEPOSIT NORTHGATE PROPERTY</t>
        </is>
      </c>
      <c r="C23" s="10" t="n">
        <v>8803.610000000001</v>
      </c>
      <c r="D23" s="10" t="n"/>
      <c r="E23" s="10">
        <f>N(C23)-N(D23)</f>
        <v/>
      </c>
      <c r="F23" s="9">
        <f>IF(E23=0,"",TEXT(ABS(E23),"0.00")&amp;"|"&amp;IF(E23&gt;0,"AR","AP"))</f>
        <v/>
      </c>
      <c r="G23" s="9">
        <f>IF(F23="","",COUNTIF(Ledger!$H:$H,F23))</f>
        <v/>
      </c>
      <c r="H23" s="9">
        <f>IF(F23="","",IF(COUNTIF($F:$F,F23)&gt;1,"REVIEW - same amount appears twice",IF(G23=0,"UNMATCHED - no ledger entry",IF(G23&gt;1,"REVIEW - matches several ledger entries","Matched"))))</f>
        <v/>
      </c>
    </row>
    <row r="24">
      <c r="A24" s="8" t="n">
        <v>46214</v>
      </c>
      <c r="B24" s="9" t="inlineStr">
        <is>
          <t>DEPOSIT VALE &amp; SONS PAINTI</t>
        </is>
      </c>
      <c r="C24" s="10" t="n">
        <v>9543.98</v>
      </c>
      <c r="D24" s="10" t="n"/>
      <c r="E24" s="10">
        <f>N(C24)-N(D24)</f>
        <v/>
      </c>
      <c r="F24" s="9">
        <f>IF(E24=0,"",TEXT(ABS(E24),"0.00")&amp;"|"&amp;IF(E24&gt;0,"AR","AP"))</f>
        <v/>
      </c>
      <c r="G24" s="9">
        <f>IF(F24="","",COUNTIF(Ledger!$H:$H,F24))</f>
        <v/>
      </c>
      <c r="H24" s="9">
        <f>IF(F24="","",IF(COUNTIF($F:$F,F24)&gt;1,"REVIEW - same amount appears twice",IF(G24=0,"UNMATCHED - no ledger entry",IF(G24&gt;1,"REVIEW - matches several ledger entries","Matched"))))</f>
        <v/>
      </c>
    </row>
    <row r="25">
      <c r="A25" s="8" t="n">
        <v>46218</v>
      </c>
      <c r="B25" s="9" t="inlineStr">
        <is>
          <t>EFT PMT METRO POWER</t>
        </is>
      </c>
      <c r="C25" s="10" t="n"/>
      <c r="D25" s="10" t="n">
        <v>5107.65</v>
      </c>
      <c r="E25" s="10">
        <f>N(C25)-N(D25)</f>
        <v/>
      </c>
      <c r="F25" s="9">
        <f>IF(E25=0,"",TEXT(ABS(E25),"0.00")&amp;"|"&amp;IF(E25&gt;0,"AR","AP"))</f>
        <v/>
      </c>
      <c r="G25" s="9">
        <f>IF(F25="","",COUNTIF(Ledger!$H:$H,F25))</f>
        <v/>
      </c>
      <c r="H25" s="9">
        <f>IF(F25="","",IF(COUNTIF($F:$F,F25)&gt;1,"REVIEW - same amount appears twice",IF(G25=0,"UNMATCHED - no ledger entry",IF(G25&gt;1,"REVIEW - matches several ledger entries","Matched"))))</f>
        <v/>
      </c>
    </row>
    <row r="26">
      <c r="A26" s="8" t="n">
        <v>46218</v>
      </c>
      <c r="B26" s="9" t="inlineStr">
        <is>
          <t>EFT PMT TRANSTATE FREIGHT</t>
        </is>
      </c>
      <c r="C26" s="10" t="n"/>
      <c r="D26" s="10" t="n">
        <v>842.5</v>
      </c>
      <c r="E26" s="10">
        <f>N(C26)-N(D26)</f>
        <v/>
      </c>
      <c r="F26" s="9">
        <f>IF(E26=0,"",TEXT(ABS(E26),"0.00")&amp;"|"&amp;IF(E26&gt;0,"AR","AP"))</f>
        <v/>
      </c>
      <c r="G26" s="9">
        <f>IF(F26="","",COUNTIF(Ledger!$H:$H,F26))</f>
        <v/>
      </c>
      <c r="H26" s="9">
        <f>IF(F26="","",IF(COUNTIF($F:$F,F26)&gt;1,"REVIEW - same amount appears twice",IF(G26=0,"UNMATCHED - no ledger entry",IF(G26&gt;1,"REVIEW - matches several ledger entries","Matched"))))</f>
        <v/>
      </c>
    </row>
    <row r="27">
      <c r="A27" s="8" t="n">
        <v>46219</v>
      </c>
      <c r="B27" s="9" t="inlineStr">
        <is>
          <t>EFT PMT TRANSTATE FREIGHT</t>
        </is>
      </c>
      <c r="C27" s="10" t="n"/>
      <c r="D27" s="10" t="n">
        <v>842.5</v>
      </c>
      <c r="E27" s="10">
        <f>N(C27)-N(D27)</f>
        <v/>
      </c>
      <c r="F27" s="9">
        <f>IF(E27=0,"",TEXT(ABS(E27),"0.00")&amp;"|"&amp;IF(E27&gt;0,"AR","AP"))</f>
        <v/>
      </c>
      <c r="G27" s="9">
        <f>IF(F27="","",COUNTIF(Ledger!$H:$H,F27))</f>
        <v/>
      </c>
      <c r="H27" s="9">
        <f>IF(F27="","",IF(COUNTIF($F:$F,F27)&gt;1,"REVIEW - same amount appears twice",IF(G27=0,"UNMATCHED - no ledger entry",IF(G27&gt;1,"REVIEW - matches several ledger entries","Matched"))))</f>
        <v/>
      </c>
    </row>
    <row r="28">
      <c r="A28" s="8" t="n">
        <v>46221</v>
      </c>
      <c r="B28" s="9" t="inlineStr">
        <is>
          <t>DEPOSIT BAYLINE INTERIORS</t>
        </is>
      </c>
      <c r="C28" s="10" t="n">
        <v>8410.75</v>
      </c>
      <c r="D28" s="10" t="n"/>
      <c r="E28" s="10">
        <f>N(C28)-N(D28)</f>
        <v/>
      </c>
      <c r="F28" s="9">
        <f>IF(E28=0,"",TEXT(ABS(E28),"0.00")&amp;"|"&amp;IF(E28&gt;0,"AR","AP"))</f>
        <v/>
      </c>
      <c r="G28" s="9">
        <f>IF(F28="","",COUNTIF(Ledger!$H:$H,F28))</f>
        <v/>
      </c>
      <c r="H28" s="9">
        <f>IF(F28="","",IF(COUNTIF($F:$F,F28)&gt;1,"REVIEW - same amount appears twice",IF(G28=0,"UNMATCHED - no ledger entry",IF(G28&gt;1,"REVIEW - matches several ledger entries","Matched"))))</f>
        <v/>
      </c>
    </row>
    <row r="29">
      <c r="A29" s="8" t="n">
        <v>46221</v>
      </c>
      <c r="B29" s="9" t="inlineStr">
        <is>
          <t>EFT PMT OFFICEWORKS TRADE</t>
        </is>
      </c>
      <c r="C29" s="10" t="n"/>
      <c r="D29" s="10" t="n">
        <v>1250.45</v>
      </c>
      <c r="E29" s="10">
        <f>N(C29)-N(D29)</f>
        <v/>
      </c>
      <c r="F29" s="9">
        <f>IF(E29=0,"",TEXT(ABS(E29),"0.00")&amp;"|"&amp;IF(E29&gt;0,"AR","AP"))</f>
        <v/>
      </c>
      <c r="G29" s="9">
        <f>IF(F29="","",COUNTIF(Ledger!$H:$H,F29))</f>
        <v/>
      </c>
      <c r="H29" s="9">
        <f>IF(F29="","",IF(COUNTIF($F:$F,F29)&gt;1,"REVIEW - same amount appears twice",IF(G29=0,"UNMATCHED - no ledger entry",IF(G29&gt;1,"REVIEW - matches several ledger entries","Matched"))))</f>
        <v/>
      </c>
    </row>
    <row r="30">
      <c r="A30" s="8" t="n">
        <v>46222</v>
      </c>
      <c r="B30" s="9" t="inlineStr">
        <is>
          <t>DEPOSIT CRESTWOOD BUILDERS</t>
        </is>
      </c>
      <c r="C30" s="10" t="n">
        <v>1430.23</v>
      </c>
      <c r="D30" s="10" t="n"/>
      <c r="E30" s="10">
        <f>N(C30)-N(D30)</f>
        <v/>
      </c>
      <c r="F30" s="9">
        <f>IF(E30=0,"",TEXT(ABS(E30),"0.00")&amp;"|"&amp;IF(E30&gt;0,"AR","AP"))</f>
        <v/>
      </c>
      <c r="G30" s="9">
        <f>IF(F30="","",COUNTIF(Ledger!$H:$H,F30))</f>
        <v/>
      </c>
      <c r="H30" s="9">
        <f>IF(F30="","",IF(COUNTIF($F:$F,F30)&gt;1,"REVIEW - same amount appears twice",IF(G30=0,"UNMATCHED - no ledger entry",IF(G30&gt;1,"REVIEW - matches several ledger entries","Matched"))))</f>
        <v/>
      </c>
    </row>
    <row r="31">
      <c r="A31" s="8" t="n">
        <v>46223</v>
      </c>
      <c r="B31" s="9" t="inlineStr">
        <is>
          <t>EFT PMT SOUTHLINE LOGISTIC</t>
        </is>
      </c>
      <c r="C31" s="10" t="n"/>
      <c r="D31" s="10" t="n">
        <v>2643.95</v>
      </c>
      <c r="E31" s="10">
        <f>N(C31)-N(D31)</f>
        <v/>
      </c>
      <c r="F31" s="9">
        <f>IF(E31=0,"",TEXT(ABS(E31),"0.00")&amp;"|"&amp;IF(E31&gt;0,"AR","AP"))</f>
        <v/>
      </c>
      <c r="G31" s="9">
        <f>IF(F31="","",COUNTIF(Ledger!$H:$H,F31))</f>
        <v/>
      </c>
      <c r="H31" s="9">
        <f>IF(F31="","",IF(COUNTIF($F:$F,F31)&gt;1,"REVIEW - same amount appears twice",IF(G31=0,"UNMATCHED - no ledger entry",IF(G31&gt;1,"REVIEW - matches several ledger entries","Matched"))))</f>
        <v/>
      </c>
    </row>
    <row r="32">
      <c r="A32" s="8" t="n">
        <v>46228</v>
      </c>
      <c r="B32" s="9" t="inlineStr">
        <is>
          <t>DEPOSIT HARDING CONSTRUCTI</t>
        </is>
      </c>
      <c r="C32" s="10" t="n">
        <v>8492</v>
      </c>
      <c r="D32" s="10" t="n"/>
      <c r="E32" s="10">
        <f>N(C32)-N(D32)</f>
        <v/>
      </c>
      <c r="F32" s="9">
        <f>IF(E32=0,"",TEXT(ABS(E32),"0.00")&amp;"|"&amp;IF(E32&gt;0,"AR","AP"))</f>
        <v/>
      </c>
      <c r="G32" s="9">
        <f>IF(F32="","",COUNTIF(Ledger!$H:$H,F32))</f>
        <v/>
      </c>
      <c r="H32" s="9">
        <f>IF(F32="","",IF(COUNTIF($F:$F,F32)&gt;1,"REVIEW - same amount appears twice",IF(G32=0,"UNMATCHED - no ledger entry",IF(G32&gt;1,"REVIEW - matches several ledger entries","Matched"))))</f>
        <v/>
      </c>
    </row>
    <row r="33">
      <c r="A33" s="8" t="n">
        <v>46230</v>
      </c>
      <c r="B33" s="9" t="inlineStr">
        <is>
          <t>DEPOSIT DOCKSIDE MARINE</t>
        </is>
      </c>
      <c r="C33" s="10" t="n">
        <v>5606.07</v>
      </c>
      <c r="D33" s="10" t="n"/>
      <c r="E33" s="10">
        <f>N(C33)-N(D33)</f>
        <v/>
      </c>
      <c r="F33" s="9">
        <f>IF(E33=0,"",TEXT(ABS(E33),"0.00")&amp;"|"&amp;IF(E33&gt;0,"AR","AP"))</f>
        <v/>
      </c>
      <c r="G33" s="9">
        <f>IF(F33="","",COUNTIF(Ledger!$H:$H,F33))</f>
        <v/>
      </c>
      <c r="H33" s="9">
        <f>IF(F33="","",IF(COUNTIF($F:$F,F33)&gt;1,"REVIEW - same amount appears twice",IF(G33=0,"UNMATCHED - no ledger entry",IF(G33&gt;1,"REVIEW - matches several ledger entries","Matched"))))</f>
        <v/>
      </c>
    </row>
    <row r="34">
      <c r="A34" s="8" t="n">
        <v>46233</v>
      </c>
      <c r="B34" s="9" t="inlineStr">
        <is>
          <t>DEPOSIT NORTHGATE PROPERTY</t>
        </is>
      </c>
      <c r="C34" s="10" t="n">
        <v>8139.79</v>
      </c>
      <c r="D34" s="10" t="n"/>
      <c r="E34" s="10">
        <f>N(C34)-N(D34)</f>
        <v/>
      </c>
      <c r="F34" s="9">
        <f>IF(E34=0,"",TEXT(ABS(E34),"0.00")&amp;"|"&amp;IF(E34&gt;0,"AR","AP"))</f>
        <v/>
      </c>
      <c r="G34" s="9">
        <f>IF(F34="","",COUNTIF(Ledger!$H:$H,F34))</f>
        <v/>
      </c>
      <c r="H34" s="9">
        <f>IF(F34="","",IF(COUNTIF($F:$F,F34)&gt;1,"REVIEW - same amount appears twice",IF(G34=0,"UNMATCHED - no ledger entry",IF(G34&gt;1,"REVIEW - matches several ledger entries","Matched"))))</f>
        <v/>
      </c>
    </row>
    <row r="35">
      <c r="A35" s="8" t="n">
        <v>46234</v>
      </c>
      <c r="B35" s="9" t="inlineStr">
        <is>
          <t>EFT PMT SOLVENT DIRECT</t>
        </is>
      </c>
      <c r="C35" s="10" t="n"/>
      <c r="D35" s="10" t="n">
        <v>953.55</v>
      </c>
      <c r="E35" s="10">
        <f>N(C35)-N(D35)</f>
        <v/>
      </c>
      <c r="F35" s="9">
        <f>IF(E35=0,"",TEXT(ABS(E35),"0.00")&amp;"|"&amp;IF(E35&gt;0,"AR","AP"))</f>
        <v/>
      </c>
      <c r="G35" s="9">
        <f>IF(F35="","",COUNTIF(Ledger!$H:$H,F35))</f>
        <v/>
      </c>
      <c r="H35" s="9">
        <f>IF(F35="","",IF(COUNTIF($F:$F,F35)&gt;1,"REVIEW - same amount appears twice",IF(G35=0,"UNMATCHED - no ledger entry",IF(G35&gt;1,"REVIEW - matches several ledger entries","Matched"))))</f>
        <v/>
      </c>
    </row>
    <row r="36">
      <c r="A36" s="8" t="n">
        <v>46234</v>
      </c>
      <c r="B36" s="9" t="inlineStr">
        <is>
          <t>EFT PMT TRANSTATE FREIGHT</t>
        </is>
      </c>
      <c r="C36" s="10" t="n"/>
      <c r="D36" s="10" t="n">
        <v>2174.45</v>
      </c>
      <c r="E36" s="10">
        <f>N(C36)-N(D36)</f>
        <v/>
      </c>
      <c r="F36" s="9">
        <f>IF(E36=0,"",TEXT(ABS(E36),"0.00")&amp;"|"&amp;IF(E36&gt;0,"AR","AP"))</f>
        <v/>
      </c>
      <c r="G36" s="9">
        <f>IF(F36="","",COUNTIF(Ledger!$H:$H,F36))</f>
        <v/>
      </c>
      <c r="H36" s="9">
        <f>IF(F36="","",IF(COUNTIF($F:$F,F36)&gt;1,"REVIEW - same amount appears twice",IF(G36=0,"UNMATCHED - no ledger entry",IF(G36&gt;1,"REVIEW - matches several ledger entries","Matched"))))</f>
        <v/>
      </c>
    </row>
    <row r="37">
      <c r="A37" s="8" t="n">
        <v>46235</v>
      </c>
      <c r="B37" s="9" t="inlineStr">
        <is>
          <t>EFT PMT OFFICEWORKS TRADE</t>
        </is>
      </c>
      <c r="C37" s="10" t="n"/>
      <c r="D37" s="10" t="n">
        <v>4758.77</v>
      </c>
      <c r="E37" s="10">
        <f>N(C37)-N(D37)</f>
        <v/>
      </c>
      <c r="F37" s="9">
        <f>IF(E37=0,"",TEXT(ABS(E37),"0.00")&amp;"|"&amp;IF(E37&gt;0,"AR","AP"))</f>
        <v/>
      </c>
      <c r="G37" s="9">
        <f>IF(F37="","",COUNTIF(Ledger!$H:$H,F37))</f>
        <v/>
      </c>
      <c r="H37" s="9">
        <f>IF(F37="","",IF(COUNTIF($F:$F,F37)&gt;1,"REVIEW - same amount appears twice",IF(G37=0,"UNMATCHED - no ledger entry",IF(G37&gt;1,"REVIEW - matches several ledger entries","Matched"))))</f>
        <v/>
      </c>
    </row>
    <row r="38">
      <c r="A38" s="8" t="n">
        <v>46236</v>
      </c>
      <c r="B38" s="9" t="inlineStr">
        <is>
          <t>EFT PMT METRO POWER</t>
        </is>
      </c>
      <c r="C38" s="10" t="n"/>
      <c r="D38" s="10" t="n">
        <v>2644.1</v>
      </c>
      <c r="E38" s="10">
        <f>N(C38)-N(D38)</f>
        <v/>
      </c>
      <c r="F38" s="9">
        <f>IF(E38=0,"",TEXT(ABS(E38),"0.00")&amp;"|"&amp;IF(E38&gt;0,"AR","AP"))</f>
        <v/>
      </c>
      <c r="G38" s="9">
        <f>IF(F38="","",COUNTIF(Ledger!$H:$H,F38))</f>
        <v/>
      </c>
      <c r="H38" s="9">
        <f>IF(F38="","",IF(COUNTIF($F:$F,F38)&gt;1,"REVIEW - same amount appears twice",IF(G38=0,"UNMATCHED - no ledger entry",IF(G38&gt;1,"REVIEW - matches several ledger entries","Matched"))))</f>
        <v/>
      </c>
    </row>
    <row r="39">
      <c r="A39" s="8" t="n">
        <v>46237</v>
      </c>
      <c r="B39" s="9" t="inlineStr">
        <is>
          <t>DEPOSIT HARDING CONSTRUCTI</t>
        </is>
      </c>
      <c r="C39" s="10" t="n">
        <v>3849.41</v>
      </c>
      <c r="D39" s="10" t="n"/>
      <c r="E39" s="10">
        <f>N(C39)-N(D39)</f>
        <v/>
      </c>
      <c r="F39" s="9">
        <f>IF(E39=0,"",TEXT(ABS(E39),"0.00")&amp;"|"&amp;IF(E39&gt;0,"AR","AP"))</f>
        <v/>
      </c>
      <c r="G39" s="9">
        <f>IF(F39="","",COUNTIF(Ledger!$H:$H,F39))</f>
        <v/>
      </c>
      <c r="H39" s="9">
        <f>IF(F39="","",IF(COUNTIF($F:$F,F39)&gt;1,"REVIEW - same amount appears twice",IF(G39=0,"UNMATCHED - no ledger entry",IF(G39&gt;1,"REVIEW - matches several ledger entries","Matched"))))</f>
        <v/>
      </c>
    </row>
    <row r="40">
      <c r="A40" s="8" t="n">
        <v>46237</v>
      </c>
      <c r="B40" s="9" t="inlineStr">
        <is>
          <t>MERCHANT FEE STRIPE</t>
        </is>
      </c>
      <c r="C40" s="10" t="n"/>
      <c r="D40" s="10" t="n">
        <v>118.44</v>
      </c>
      <c r="E40" s="10">
        <f>N(C40)-N(D40)</f>
        <v/>
      </c>
      <c r="F40" s="9">
        <f>IF(E40=0,"",TEXT(ABS(E40),"0.00")&amp;"|"&amp;IF(E40&gt;0,"AR","AP"))</f>
        <v/>
      </c>
      <c r="G40" s="9">
        <f>IF(F40="","",COUNTIF(Ledger!$H:$H,F40))</f>
        <v/>
      </c>
      <c r="H40" s="9">
        <f>IF(F40="","",IF(COUNTIF($F:$F,F40)&gt;1,"REVIEW - same amount appears twice",IF(G40=0,"UNMATCHED - no ledger entry",IF(G40&gt;1,"REVIEW - matches several ledger entries","Matched"))))</f>
        <v/>
      </c>
    </row>
    <row r="41">
      <c r="A41" s="8" t="n">
        <v>46238</v>
      </c>
      <c r="B41" s="9" t="inlineStr">
        <is>
          <t>DEPOSIT DOCKSIDE MARINE</t>
        </is>
      </c>
      <c r="C41" s="10" t="n">
        <v>6966.46</v>
      </c>
      <c r="D41" s="10" t="n"/>
      <c r="E41" s="10">
        <f>N(C41)-N(D41)</f>
        <v/>
      </c>
      <c r="F41" s="9">
        <f>IF(E41=0,"",TEXT(ABS(E41),"0.00")&amp;"|"&amp;IF(E41&gt;0,"AR","AP"))</f>
        <v/>
      </c>
      <c r="G41" s="9">
        <f>IF(F41="","",COUNTIF(Ledger!$H:$H,F41))</f>
        <v/>
      </c>
      <c r="H41" s="9">
        <f>IF(F41="","",IF(COUNTIF($F:$F,F41)&gt;1,"REVIEW - same amount appears twice",IF(G41=0,"UNMATCHED - no ledger entry",IF(G41&gt;1,"REVIEW - matches several ledger entries","Matched"))))</f>
        <v/>
      </c>
    </row>
    <row r="42">
      <c r="A42" s="8" t="n">
        <v>46239</v>
      </c>
      <c r="B42" s="9" t="inlineStr">
        <is>
          <t>DEPOSIT NORTHGATE PROPERTY</t>
        </is>
      </c>
      <c r="C42" s="10" t="n">
        <v>1529.96</v>
      </c>
      <c r="D42" s="10" t="n"/>
      <c r="E42" s="10">
        <f>N(C42)-N(D42)</f>
        <v/>
      </c>
      <c r="F42" s="9">
        <f>IF(E42=0,"",TEXT(ABS(E42),"0.00")&amp;"|"&amp;IF(E42&gt;0,"AR","AP"))</f>
        <v/>
      </c>
      <c r="G42" s="9">
        <f>IF(F42="","",COUNTIF(Ledger!$H:$H,F42))</f>
        <v/>
      </c>
      <c r="H42" s="9">
        <f>IF(F42="","",IF(COUNTIF($F:$F,F42)&gt;1,"REVIEW - same amount appears twice",IF(G42=0,"UNMATCHED - no ledger entry",IF(G42&gt;1,"REVIEW - matches several ledger entries","Matched"))))</f>
        <v/>
      </c>
    </row>
    <row r="43">
      <c r="A43" s="8" t="n">
        <v>46239</v>
      </c>
      <c r="B43" s="9" t="inlineStr">
        <is>
          <t>DEPOSIT CRESTWOOD BUILDERS</t>
        </is>
      </c>
      <c r="C43" s="10" t="n">
        <v>1084.25</v>
      </c>
      <c r="D43" s="10" t="n"/>
      <c r="E43" s="10">
        <f>N(C43)-N(D43)</f>
        <v/>
      </c>
      <c r="F43" s="9">
        <f>IF(E43=0,"",TEXT(ABS(E43),"0.00")&amp;"|"&amp;IF(E43&gt;0,"AR","AP"))</f>
        <v/>
      </c>
      <c r="G43" s="9">
        <f>IF(F43="","",COUNTIF(Ledger!$H:$H,F43))</f>
        <v/>
      </c>
      <c r="H43" s="9">
        <f>IF(F43="","",IF(COUNTIF($F:$F,F43)&gt;1,"REVIEW - same amount appears twice",IF(G43=0,"UNMATCHED - no ledger entry",IF(G43&gt;1,"REVIEW - matches several ledger entries","Matched"))))</f>
        <v/>
      </c>
    </row>
    <row r="44">
      <c r="A44" s="8" t="n">
        <v>46240</v>
      </c>
      <c r="B44" s="9" t="inlineStr">
        <is>
          <t>EFT PMT DRUM &amp; CAN PACKAGI</t>
        </is>
      </c>
      <c r="C44" s="10" t="n"/>
      <c r="D44" s="10" t="n">
        <v>3187.22</v>
      </c>
      <c r="E44" s="10">
        <f>N(C44)-N(D44)</f>
        <v/>
      </c>
      <c r="F44" s="9">
        <f>IF(E44=0,"",TEXT(ABS(E44),"0.00")&amp;"|"&amp;IF(E44&gt;0,"AR","AP"))</f>
        <v/>
      </c>
      <c r="G44" s="9">
        <f>IF(F44="","",COUNTIF(Ledger!$H:$H,F44))</f>
        <v/>
      </c>
      <c r="H44" s="9">
        <f>IF(F44="","",IF(COUNTIF($F:$F,F44)&gt;1,"REVIEW - same amount appears twice",IF(G44=0,"UNMATCHED - no ledger entry",IF(G44&gt;1,"REVIEW - matches several ledger entries","Matched"))))</f>
        <v/>
      </c>
    </row>
    <row r="45">
      <c r="A45" s="8" t="n">
        <v>46244</v>
      </c>
      <c r="B45" s="9" t="inlineStr">
        <is>
          <t>DEPOSIT QUAY STREET DEVELO</t>
        </is>
      </c>
      <c r="C45" s="10" t="n">
        <v>2266.34</v>
      </c>
      <c r="D45" s="10" t="n"/>
      <c r="E45" s="10">
        <f>N(C45)-N(D45)</f>
        <v/>
      </c>
      <c r="F45" s="9">
        <f>IF(E45=0,"",TEXT(ABS(E45),"0.00")&amp;"|"&amp;IF(E45&gt;0,"AR","AP"))</f>
        <v/>
      </c>
      <c r="G45" s="9">
        <f>IF(F45="","",COUNTIF(Ledger!$H:$H,F45))</f>
        <v/>
      </c>
      <c r="H45" s="9">
        <f>IF(F45="","",IF(COUNTIF($F:$F,F45)&gt;1,"REVIEW - same amount appears twice",IF(G45=0,"UNMATCHED - no ledger entry",IF(G45&gt;1,"REVIEW - matches several ledger entries","Matched"))))</f>
        <v/>
      </c>
    </row>
    <row r="46">
      <c r="A46" s="8" t="n">
        <v>46246</v>
      </c>
      <c r="B46" s="9" t="inlineStr">
        <is>
          <t>DEPOSIT QUAY STREET DEVELO</t>
        </is>
      </c>
      <c r="C46" s="10" t="n">
        <v>2191.92</v>
      </c>
      <c r="D46" s="10" t="n"/>
      <c r="E46" s="10">
        <f>N(C46)-N(D46)</f>
        <v/>
      </c>
      <c r="F46" s="9">
        <f>IF(E46=0,"",TEXT(ABS(E46),"0.00")&amp;"|"&amp;IF(E46&gt;0,"AR","AP"))</f>
        <v/>
      </c>
      <c r="G46" s="9">
        <f>IF(F46="","",COUNTIF(Ledger!$H:$H,F46))</f>
        <v/>
      </c>
      <c r="H46" s="9">
        <f>IF(F46="","",IF(COUNTIF($F:$F,F46)&gt;1,"REVIEW - same amount appears twice",IF(G46=0,"UNMATCHED - no ledger entry",IF(G46&gt;1,"REVIEW - matches several ledger entries","Matched"))))</f>
        <v/>
      </c>
    </row>
    <row r="47">
      <c r="A47" s="8" t="n">
        <v>46246</v>
      </c>
      <c r="B47" s="9" t="inlineStr">
        <is>
          <t>EFT PMT DRUM &amp; CAN PACKAGI</t>
        </is>
      </c>
      <c r="C47" s="10" t="n"/>
      <c r="D47" s="10" t="n">
        <v>2233.63</v>
      </c>
      <c r="E47" s="10">
        <f>N(C47)-N(D47)</f>
        <v/>
      </c>
      <c r="F47" s="9">
        <f>IF(E47=0,"",TEXT(ABS(E47),"0.00")&amp;"|"&amp;IF(E47&gt;0,"AR","AP"))</f>
        <v/>
      </c>
      <c r="G47" s="9">
        <f>IF(F47="","",COUNTIF(Ledger!$H:$H,F47))</f>
        <v/>
      </c>
      <c r="H47" s="9">
        <f>IF(F47="","",IF(COUNTIF($F:$F,F47)&gt;1,"REVIEW - same amount appears twice",IF(G47=0,"UNMATCHED - no ledger entry",IF(G47&gt;1,"REVIEW - matches several ledger entries","Matched"))))</f>
        <v/>
      </c>
    </row>
    <row r="48">
      <c r="A48" s="8" t="n">
        <v>46247</v>
      </c>
      <c r="B48" s="9" t="inlineStr">
        <is>
          <t>DEPOSIT ELLERSLIE FITOUT</t>
        </is>
      </c>
      <c r="C48" s="10" t="n">
        <v>5391.69</v>
      </c>
      <c r="D48" s="10" t="n"/>
      <c r="E48" s="10">
        <f>N(C48)-N(D48)</f>
        <v/>
      </c>
      <c r="F48" s="9">
        <f>IF(E48=0,"",TEXT(ABS(E48),"0.00")&amp;"|"&amp;IF(E48&gt;0,"AR","AP"))</f>
        <v/>
      </c>
      <c r="G48" s="9">
        <f>IF(F48="","",COUNTIF(Ledger!$H:$H,F48))</f>
        <v/>
      </c>
      <c r="H48" s="9">
        <f>IF(F48="","",IF(COUNTIF($F:$F,F48)&gt;1,"REVIEW - same amount appears twice",IF(G48=0,"UNMATCHED - no ledger entry",IF(G48&gt;1,"REVIEW - matches several ledger entries","Matched"))))</f>
        <v/>
      </c>
    </row>
    <row r="49">
      <c r="A49" s="8" t="n">
        <v>46249</v>
      </c>
      <c r="B49" s="9" t="inlineStr">
        <is>
          <t>EFT PMT TRANSTATE FREIGHT</t>
        </is>
      </c>
      <c r="C49" s="10" t="n"/>
      <c r="D49" s="10" t="n">
        <v>2614.18</v>
      </c>
      <c r="E49" s="10">
        <f>N(C49)-N(D49)</f>
        <v/>
      </c>
      <c r="F49" s="9">
        <f>IF(E49=0,"",TEXT(ABS(E49),"0.00")&amp;"|"&amp;IF(E49&gt;0,"AR","AP"))</f>
        <v/>
      </c>
      <c r="G49" s="9">
        <f>IF(F49="","",COUNTIF(Ledger!$H:$H,F49))</f>
        <v/>
      </c>
      <c r="H49" s="9">
        <f>IF(F49="","",IF(COUNTIF($F:$F,F49)&gt;1,"REVIEW - same amount appears twice",IF(G49=0,"UNMATCHED - no ledger entry",IF(G49&gt;1,"REVIEW - matches several ledger entries","Matched"))))</f>
        <v/>
      </c>
    </row>
    <row r="50">
      <c r="A50" s="8" t="n">
        <v>46249</v>
      </c>
      <c r="B50" s="9" t="inlineStr">
        <is>
          <t>EFT PMT RAWLINS RESIN</t>
        </is>
      </c>
      <c r="C50" s="10" t="n"/>
      <c r="D50" s="10" t="n">
        <v>4209.43</v>
      </c>
      <c r="E50" s="10">
        <f>N(C50)-N(D50)</f>
        <v/>
      </c>
      <c r="F50" s="9">
        <f>IF(E50=0,"",TEXT(ABS(E50),"0.00")&amp;"|"&amp;IF(E50&gt;0,"AR","AP"))</f>
        <v/>
      </c>
      <c r="G50" s="9">
        <f>IF(F50="","",COUNTIF(Ledger!$H:$H,F50))</f>
        <v/>
      </c>
      <c r="H50" s="9">
        <f>IF(F50="","",IF(COUNTIF($F:$F,F50)&gt;1,"REVIEW - same amount appears twice",IF(G50=0,"UNMATCHED - no ledger entry",IF(G50&gt;1,"REVIEW - matches several ledger entries","Matched"))))</f>
        <v/>
      </c>
    </row>
    <row r="51">
      <c r="A51" s="8" t="n">
        <v>46251</v>
      </c>
      <c r="B51" s="9" t="inlineStr">
        <is>
          <t>DEPOSIT VALE &amp; SONS PAINTI</t>
        </is>
      </c>
      <c r="C51" s="10" t="n">
        <v>1106.7</v>
      </c>
      <c r="D51" s="10" t="n"/>
      <c r="E51" s="10">
        <f>N(C51)-N(D51)</f>
        <v/>
      </c>
      <c r="F51" s="9">
        <f>IF(E51=0,"",TEXT(ABS(E51),"0.00")&amp;"|"&amp;IF(E51&gt;0,"AR","AP"))</f>
        <v/>
      </c>
      <c r="G51" s="9">
        <f>IF(F51="","",COUNTIF(Ledger!$H:$H,F51))</f>
        <v/>
      </c>
      <c r="H51" s="9">
        <f>IF(F51="","",IF(COUNTIF($F:$F,F51)&gt;1,"REVIEW - same amount appears twice",IF(G51=0,"UNMATCHED - no ledger entry",IF(G51&gt;1,"REVIEW - matches several ledger entries","Matched"))))</f>
        <v/>
      </c>
    </row>
    <row r="52">
      <c r="A52" s="8" t="n">
        <v>46253</v>
      </c>
      <c r="B52" s="9" t="inlineStr">
        <is>
          <t>EFT PMT SOUTHLINE LOGISTIC</t>
        </is>
      </c>
      <c r="C52" s="10" t="n"/>
      <c r="D52" s="10" t="n">
        <v>2313.38</v>
      </c>
      <c r="E52" s="10">
        <f>N(C52)-N(D52)</f>
        <v/>
      </c>
      <c r="F52" s="9">
        <f>IF(E52=0,"",TEXT(ABS(E52),"0.00")&amp;"|"&amp;IF(E52&gt;0,"AR","AP"))</f>
        <v/>
      </c>
      <c r="G52" s="9">
        <f>IF(F52="","",COUNTIF(Ledger!$H:$H,F52))</f>
        <v/>
      </c>
      <c r="H52" s="9">
        <f>IF(F52="","",IF(COUNTIF($F:$F,F52)&gt;1,"REVIEW - same amount appears twice",IF(G52=0,"UNMATCHED - no ledger entry",IF(G52&gt;1,"REVIEW - matches several ledger entries","Matched"))))</f>
        <v/>
      </c>
    </row>
    <row r="53">
      <c r="A53" s="8" t="n">
        <v>46254</v>
      </c>
      <c r="B53" s="9" t="inlineStr">
        <is>
          <t>DEPOSIT NORTHGATE PROPERTY</t>
        </is>
      </c>
      <c r="C53" s="10" t="n">
        <v>3635.64</v>
      </c>
      <c r="D53" s="10" t="n"/>
      <c r="E53" s="10">
        <f>N(C53)-N(D53)</f>
        <v/>
      </c>
      <c r="F53" s="9">
        <f>IF(E53=0,"",TEXT(ABS(E53),"0.00")&amp;"|"&amp;IF(E53&gt;0,"AR","AP"))</f>
        <v/>
      </c>
      <c r="G53" s="9">
        <f>IF(F53="","",COUNTIF(Ledger!$H:$H,F53))</f>
        <v/>
      </c>
      <c r="H53" s="9">
        <f>IF(F53="","",IF(COUNTIF($F:$F,F53)&gt;1,"REVIEW - same amount appears twice",IF(G53=0,"UNMATCHED - no ledger entry",IF(G53&gt;1,"REVIEW - matches several ledger entries","Matched"))))</f>
        <v/>
      </c>
    </row>
    <row r="54">
      <c r="A54" s="8" t="n">
        <v>46255</v>
      </c>
      <c r="B54" s="9" t="inlineStr">
        <is>
          <t>DEPOSIT QUAY STREET DEVELO</t>
        </is>
      </c>
      <c r="C54" s="10" t="n">
        <v>4715.57</v>
      </c>
      <c r="D54" s="10" t="n"/>
      <c r="E54" s="10">
        <f>N(C54)-N(D54)</f>
        <v/>
      </c>
      <c r="F54" s="9">
        <f>IF(E54=0,"",TEXT(ABS(E54),"0.00")&amp;"|"&amp;IF(E54&gt;0,"AR","AP"))</f>
        <v/>
      </c>
      <c r="G54" s="9">
        <f>IF(F54="","",COUNTIF(Ledger!$H:$H,F54))</f>
        <v/>
      </c>
      <c r="H54" s="9">
        <f>IF(F54="","",IF(COUNTIF($F:$F,F54)&gt;1,"REVIEW - same amount appears twice",IF(G54=0,"UNMATCHED - no ledger entry",IF(G54&gt;1,"REVIEW - matches several ledger entries","Matched"))))</f>
        <v/>
      </c>
    </row>
    <row r="55">
      <c r="A55" s="8" t="n">
        <v>46255</v>
      </c>
      <c r="B55" s="9" t="inlineStr">
        <is>
          <t>DEPOSIT DOCKSIDE MARINE</t>
        </is>
      </c>
      <c r="C55" s="10" t="n">
        <v>3314.7</v>
      </c>
      <c r="D55" s="10" t="n"/>
      <c r="E55" s="10">
        <f>N(C55)-N(D55)</f>
        <v/>
      </c>
      <c r="F55" s="9">
        <f>IF(E55=0,"",TEXT(ABS(E55),"0.00")&amp;"|"&amp;IF(E55&gt;0,"AR","AP"))</f>
        <v/>
      </c>
      <c r="G55" s="9">
        <f>IF(F55="","",COUNTIF(Ledger!$H:$H,F55))</f>
        <v/>
      </c>
      <c r="H55" s="9">
        <f>IF(F55="","",IF(COUNTIF($F:$F,F55)&gt;1,"REVIEW - same amount appears twice",IF(G55=0,"UNMATCHED - no ledger entry",IF(G55&gt;1,"REVIEW - matches several ledger entries","Matched"))))</f>
        <v/>
      </c>
    </row>
    <row r="56">
      <c r="A56" s="8" t="n">
        <v>46255</v>
      </c>
      <c r="B56" s="9" t="inlineStr">
        <is>
          <t>DEPOSIT UNKNOWN REF 88213</t>
        </is>
      </c>
      <c r="C56" s="10" t="n">
        <v>2400</v>
      </c>
      <c r="D56" s="10" t="n"/>
      <c r="E56" s="10">
        <f>N(C56)-N(D56)</f>
        <v/>
      </c>
      <c r="F56" s="9">
        <f>IF(E56=0,"",TEXT(ABS(E56),"0.00")&amp;"|"&amp;IF(E56&gt;0,"AR","AP"))</f>
        <v/>
      </c>
      <c r="G56" s="9">
        <f>IF(F56="","",COUNTIF(Ledger!$H:$H,F56))</f>
        <v/>
      </c>
      <c r="H56" s="9">
        <f>IF(F56="","",IF(COUNTIF($F:$F,F56)&gt;1,"REVIEW - same amount appears twice",IF(G56=0,"UNMATCHED - no ledger entry",IF(G56&gt;1,"REVIEW - matches several ledger entries","Matched"))))</f>
        <v/>
      </c>
    </row>
    <row r="57">
      <c r="A57" s="8" t="n">
        <v>46257</v>
      </c>
      <c r="B57" s="9" t="inlineStr">
        <is>
          <t>EFT PMT RAWLINS RESIN</t>
        </is>
      </c>
      <c r="C57" s="10" t="n"/>
      <c r="D57" s="10" t="n">
        <v>2484.03</v>
      </c>
      <c r="E57" s="10">
        <f>N(C57)-N(D57)</f>
        <v/>
      </c>
      <c r="F57" s="9">
        <f>IF(E57=0,"",TEXT(ABS(E57),"0.00")&amp;"|"&amp;IF(E57&gt;0,"AR","AP"))</f>
        <v/>
      </c>
      <c r="G57" s="9">
        <f>IF(F57="","",COUNTIF(Ledger!$H:$H,F57))</f>
        <v/>
      </c>
      <c r="H57" s="9">
        <f>IF(F57="","",IF(COUNTIF($F:$F,F57)&gt;1,"REVIEW - same amount appears twice",IF(G57=0,"UNMATCHED - no ledger entry",IF(G57&gt;1,"REVIEW - matches several ledger entries","Matched"))))</f>
        <v/>
      </c>
    </row>
    <row r="58">
      <c r="A58" s="8" t="n">
        <v>46260</v>
      </c>
      <c r="B58" s="9" t="inlineStr">
        <is>
          <t>DEPOSIT DOCKSIDE MARINE</t>
        </is>
      </c>
      <c r="C58" s="10" t="n">
        <v>3117.56</v>
      </c>
      <c r="D58" s="10" t="n"/>
      <c r="E58" s="10">
        <f>N(C58)-N(D58)</f>
        <v/>
      </c>
      <c r="F58" s="9">
        <f>IF(E58=0,"",TEXT(ABS(E58),"0.00")&amp;"|"&amp;IF(E58&gt;0,"AR","AP"))</f>
        <v/>
      </c>
      <c r="G58" s="9">
        <f>IF(F58="","",COUNTIF(Ledger!$H:$H,F58))</f>
        <v/>
      </c>
      <c r="H58" s="9">
        <f>IF(F58="","",IF(COUNTIF($F:$F,F58)&gt;1,"REVIEW - same amount appears twice",IF(G58=0,"UNMATCHED - no ledger entry",IF(G58&gt;1,"REVIEW - matches several ledger entries","Matched"))))</f>
        <v/>
      </c>
    </row>
    <row r="59">
      <c r="A59" s="8" t="n">
        <v>46261</v>
      </c>
      <c r="B59" s="9" t="inlineStr">
        <is>
          <t>EFT PMT SOLVENT DIRECT</t>
        </is>
      </c>
      <c r="C59" s="10" t="n"/>
      <c r="D59" s="10" t="n">
        <v>2376.83</v>
      </c>
      <c r="E59" s="10">
        <f>N(C59)-N(D59)</f>
        <v/>
      </c>
      <c r="F59" s="9">
        <f>IF(E59=0,"",TEXT(ABS(E59),"0.00")&amp;"|"&amp;IF(E59&gt;0,"AR","AP"))</f>
        <v/>
      </c>
      <c r="G59" s="9">
        <f>IF(F59="","",COUNTIF(Ledger!$H:$H,F59))</f>
        <v/>
      </c>
      <c r="H59" s="9">
        <f>IF(F59="","",IF(COUNTIF($F:$F,F59)&gt;1,"REVIEW - same amount appears twice",IF(G59=0,"UNMATCHED - no ledger entry",IF(G59&gt;1,"REVIEW - matches several ledger entries","Matched"))))</f>
        <v/>
      </c>
    </row>
    <row r="60">
      <c r="A60" s="8" t="n">
        <v>46263</v>
      </c>
      <c r="B60" s="9" t="inlineStr">
        <is>
          <t>DEPOSIT CRESTWOOD BUILDERS</t>
        </is>
      </c>
      <c r="C60" s="10" t="n">
        <v>4203.4</v>
      </c>
      <c r="D60" s="10" t="n"/>
      <c r="E60" s="10">
        <f>N(C60)-N(D60)</f>
        <v/>
      </c>
      <c r="F60" s="9">
        <f>IF(E60=0,"",TEXT(ABS(E60),"0.00")&amp;"|"&amp;IF(E60&gt;0,"AR","AP"))</f>
        <v/>
      </c>
      <c r="G60" s="9">
        <f>IF(F60="","",COUNTIF(Ledger!$H:$H,F60))</f>
        <v/>
      </c>
      <c r="H60" s="9">
        <f>IF(F60="","",IF(COUNTIF($F:$F,F60)&gt;1,"REVIEW - same amount appears twice",IF(G60=0,"UNMATCHED - no ledger entry",IF(G60&gt;1,"REVIEW - matches several ledger entries","Matched"))))</f>
        <v/>
      </c>
    </row>
    <row r="61">
      <c r="A61" s="8" t="n">
        <v>46264</v>
      </c>
      <c r="B61" s="9" t="inlineStr">
        <is>
          <t>DEPOSIT HARDING CONSTRUCTI</t>
        </is>
      </c>
      <c r="C61" s="10" t="n">
        <v>1298.29</v>
      </c>
      <c r="D61" s="10" t="n"/>
      <c r="E61" s="10">
        <f>N(C61)-N(D61)</f>
        <v/>
      </c>
      <c r="F61" s="9">
        <f>IF(E61=0,"",TEXT(ABS(E61),"0.00")&amp;"|"&amp;IF(E61&gt;0,"AR","AP"))</f>
        <v/>
      </c>
      <c r="G61" s="9">
        <f>IF(F61="","",COUNTIF(Ledger!$H:$H,F61))</f>
        <v/>
      </c>
      <c r="H61" s="9">
        <f>IF(F61="","",IF(COUNTIF($F:$F,F61)&gt;1,"REVIEW - same amount appears twice",IF(G61=0,"UNMATCHED - no ledger entry",IF(G61&gt;1,"REVIEW - matches several ledger entries","Matched"))))</f>
        <v/>
      </c>
    </row>
    <row r="62">
      <c r="A62" s="8" t="n">
        <v>46270</v>
      </c>
      <c r="B62" s="9" t="inlineStr">
        <is>
          <t>DEPOSIT HARDING CONSTRUCTI</t>
        </is>
      </c>
      <c r="C62" s="10" t="n">
        <v>844.58</v>
      </c>
      <c r="D62" s="10" t="n"/>
      <c r="E62" s="10">
        <f>N(C62)-N(D62)</f>
        <v/>
      </c>
      <c r="F62" s="9">
        <f>IF(E62=0,"",TEXT(ABS(E62),"0.00")&amp;"|"&amp;IF(E62&gt;0,"AR","AP"))</f>
        <v/>
      </c>
      <c r="G62" s="9">
        <f>IF(F62="","",COUNTIF(Ledger!$H:$H,F62))</f>
        <v/>
      </c>
      <c r="H62" s="9">
        <f>IF(F62="","",IF(COUNTIF($F:$F,F62)&gt;1,"REVIEW - same amount appears twice",IF(G62=0,"UNMATCHED - no ledger entry",IF(G62&gt;1,"REVIEW - matches several ledger entries","Matched"))))</f>
        <v/>
      </c>
    </row>
    <row r="63">
      <c r="A63" s="8" t="n">
        <v>46271</v>
      </c>
      <c r="B63" s="9" t="inlineStr">
        <is>
          <t>EFT PMT PIGMENT SUPPLY CO</t>
        </is>
      </c>
      <c r="C63" s="10" t="n"/>
      <c r="D63" s="10" t="n">
        <v>1098.09</v>
      </c>
      <c r="E63" s="10">
        <f>N(C63)-N(D63)</f>
        <v/>
      </c>
      <c r="F63" s="9">
        <f>IF(E63=0,"",TEXT(ABS(E63),"0.00")&amp;"|"&amp;IF(E63&gt;0,"AR","AP"))</f>
        <v/>
      </c>
      <c r="G63" s="9">
        <f>IF(F63="","",COUNTIF(Ledger!$H:$H,F63))</f>
        <v/>
      </c>
      <c r="H63" s="9">
        <f>IF(F63="","",IF(COUNTIF($F:$F,F63)&gt;1,"REVIEW - same amount appears twice",IF(G63=0,"UNMATCHED - no ledger entry",IF(G63&gt;1,"REVIEW - matches several ledger entries","Matched"))))</f>
        <v/>
      </c>
    </row>
    <row r="64">
      <c r="A64" s="8" t="n">
        <v>46272</v>
      </c>
      <c r="B64" s="9" t="inlineStr">
        <is>
          <t>DEPOSIT BAYLINE INTERIORS</t>
        </is>
      </c>
      <c r="C64" s="10" t="n">
        <v>9115.950000000001</v>
      </c>
      <c r="D64" s="10" t="n"/>
      <c r="E64" s="10">
        <f>N(C64)-N(D64)</f>
        <v/>
      </c>
      <c r="F64" s="9">
        <f>IF(E64=0,"",TEXT(ABS(E64),"0.00")&amp;"|"&amp;IF(E64&gt;0,"AR","AP"))</f>
        <v/>
      </c>
      <c r="G64" s="9">
        <f>IF(F64="","",COUNTIF(Ledger!$H:$H,F64))</f>
        <v/>
      </c>
      <c r="H64" s="9">
        <f>IF(F64="","",IF(COUNTIF($F:$F,F64)&gt;1,"REVIEW - same amount appears twice",IF(G64=0,"UNMATCHED - no ledger entry",IF(G64&gt;1,"REVIEW - matches several ledger entries","Matched"))))</f>
        <v/>
      </c>
    </row>
    <row r="65">
      <c r="A65" s="8" t="n">
        <v>46274</v>
      </c>
      <c r="B65" s="9" t="inlineStr">
        <is>
          <t>DEPOSIT BAYLINE INTERIORS</t>
        </is>
      </c>
      <c r="C65" s="10" t="n">
        <v>4674.86</v>
      </c>
      <c r="D65" s="10" t="n"/>
      <c r="E65" s="10">
        <f>N(C65)-N(D65)</f>
        <v/>
      </c>
      <c r="F65" s="9">
        <f>IF(E65=0,"",TEXT(ABS(E65),"0.00")&amp;"|"&amp;IF(E65&gt;0,"AR","AP"))</f>
        <v/>
      </c>
      <c r="G65" s="9">
        <f>IF(F65="","",COUNTIF(Ledger!$H:$H,F65))</f>
        <v/>
      </c>
      <c r="H65" s="9">
        <f>IF(F65="","",IF(COUNTIF($F:$F,F65)&gt;1,"REVIEW - same amount appears twice",IF(G65=0,"UNMATCHED - no ledger entry",IF(G65&gt;1,"REVIEW - matches several ledger entries","Matched"))))</f>
        <v/>
      </c>
    </row>
    <row r="66">
      <c r="A66" s="8" t="n">
        <v>46275</v>
      </c>
      <c r="B66" s="9" t="inlineStr">
        <is>
          <t>EFT PMT OFFICEWORKS TRADE</t>
        </is>
      </c>
      <c r="C66" s="10" t="n"/>
      <c r="D66" s="10" t="n">
        <v>3314.97</v>
      </c>
      <c r="E66" s="10">
        <f>N(C66)-N(D66)</f>
        <v/>
      </c>
      <c r="F66" s="9">
        <f>IF(E66=0,"",TEXT(ABS(E66),"0.00")&amp;"|"&amp;IF(E66&gt;0,"AR","AP"))</f>
        <v/>
      </c>
      <c r="G66" s="9">
        <f>IF(F66="","",COUNTIF(Ledger!$H:$H,F66))</f>
        <v/>
      </c>
      <c r="H66" s="9">
        <f>IF(F66="","",IF(COUNTIF($F:$F,F66)&gt;1,"REVIEW - same amount appears twice",IF(G66=0,"UNMATCHED - no ledger entry",IF(G66&gt;1,"REVIEW - matches several ledger entries","Matched"))))</f>
        <v/>
      </c>
    </row>
  </sheetData>
  <autoFilter ref="A4:H66"/>
  <conditionalFormatting sqref="H5:H66">
    <cfRule type="expression" priority="1" dxfId="0">
      <formula>LEFT($H5,9)="UNMATCHED"</formula>
    </cfRule>
    <cfRule type="expression" priority="2" dxfId="1">
      <formula>LEFT($H5,6)="REVIEW"</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6"/>
  <sheetViews>
    <sheetView showGridLines="1" workbookViewId="0">
      <pane ySplit="4" topLeftCell="A5" activePane="bottomLeft" state="frozen"/>
      <selection pane="bottomLeft" activeCell="A1" sqref="A1"/>
    </sheetView>
  </sheetViews>
  <sheetFormatPr baseColWidth="8" defaultRowHeight="15"/>
  <cols>
    <col width="12" customWidth="1" min="1" max="1"/>
    <col width="10" customWidth="1" min="2" max="2"/>
    <col width="26" customWidth="1" min="3" max="3"/>
    <col width="13" customWidth="1" min="4" max="4"/>
    <col width="13" customWidth="1" min="5" max="5"/>
    <col width="12" customWidth="1" min="6" max="6"/>
    <col width="13" customWidth="1" min="7" max="7"/>
    <col width="16" customWidth="1" min="8" max="8"/>
    <col width="13" customWidth="1" min="9" max="9"/>
    <col width="14" customWidth="1" min="10" max="10"/>
  </cols>
  <sheetData>
    <row r="1">
      <c r="A1" s="1" t="inlineStr">
        <is>
          <t>Ledger - invoices you raised and bills you received</t>
        </is>
      </c>
    </row>
    <row r="2">
      <c r="A2" s="2" t="inlineStr">
        <is>
          <t>Columns A-F are typed. G to J are formulas. One row per document, never one row per payment.</t>
        </is>
      </c>
    </row>
    <row r="4" ht="26" customHeight="1">
      <c r="A4" s="7" t="inlineStr">
        <is>
          <t>Date</t>
        </is>
      </c>
      <c r="B4" s="7" t="inlineStr">
        <is>
          <t>Type</t>
        </is>
      </c>
      <c r="C4" s="7" t="inlineStr">
        <is>
          <t>Party</t>
        </is>
      </c>
      <c r="D4" s="7" t="inlineStr">
        <is>
          <t>Reference</t>
        </is>
      </c>
      <c r="E4" s="7" t="inlineStr">
        <is>
          <t>Amount</t>
        </is>
      </c>
      <c r="F4" s="7" t="inlineStr">
        <is>
          <t>Due date</t>
        </is>
      </c>
      <c r="G4" s="7" t="inlineStr">
        <is>
          <t>Days overdue</t>
        </is>
      </c>
      <c r="H4" s="7" t="inlineStr">
        <is>
          <t>Match key</t>
        </is>
      </c>
      <c r="I4" s="7" t="inlineStr">
        <is>
          <t>Settled</t>
        </is>
      </c>
      <c r="J4" s="7" t="inlineStr">
        <is>
          <t>Aging bucket</t>
        </is>
      </c>
    </row>
    <row r="5">
      <c r="A5" s="8" t="n">
        <v>46175</v>
      </c>
      <c r="B5" s="9" t="inlineStr">
        <is>
          <t>Bill</t>
        </is>
      </c>
      <c r="C5" s="9" t="inlineStr">
        <is>
          <t>Drum &amp; Can Packaging</t>
        </is>
      </c>
      <c r="D5" s="9" t="inlineStr">
        <is>
          <t>BILL-5002</t>
        </is>
      </c>
      <c r="E5" s="10" t="n">
        <v>731.3200000000001</v>
      </c>
      <c r="F5" s="8" t="n">
        <v>46205</v>
      </c>
      <c r="G5" s="9">
        <f>IF(I5="Settled","",MAX(0,TODAY()-F5))</f>
        <v/>
      </c>
      <c r="H5" s="9">
        <f>IF(E5="","",TEXT(E5,"0.00")&amp;"|"&amp;IF(B5="Invoice","AR","AP"))</f>
        <v/>
      </c>
      <c r="I5" s="9">
        <f>IF(H5="","",IF(COUNTIF(Bank!$F:$F,H5)&gt;0,"Settled","Open"))</f>
        <v/>
      </c>
      <c r="J5" s="9">
        <f>IF(I5&lt;&gt;"Open","",IF(G5&lt;=0,"Current",IF(G5&lt;=30,"1-30",IF(G5&lt;=60,"31-60",IF(G5&lt;=90,"61-90","90+")))))</f>
        <v/>
      </c>
    </row>
    <row r="6">
      <c r="A6" s="8" t="n">
        <v>46176</v>
      </c>
      <c r="B6" s="9" t="inlineStr">
        <is>
          <t>Invoice</t>
        </is>
      </c>
      <c r="C6" s="9" t="inlineStr">
        <is>
          <t>Vale &amp; Sons Painting</t>
        </is>
      </c>
      <c r="D6" s="9" t="inlineStr">
        <is>
          <t>INV-1002</t>
        </is>
      </c>
      <c r="E6" s="10" t="n">
        <v>7286.17</v>
      </c>
      <c r="F6" s="8" t="n">
        <v>46206</v>
      </c>
      <c r="G6" s="9">
        <f>IF(I6="Settled","",MAX(0,TODAY()-F6))</f>
        <v/>
      </c>
      <c r="H6" s="9">
        <f>IF(E6="","",TEXT(E6,"0.00")&amp;"|"&amp;IF(B6="Invoice","AR","AP"))</f>
        <v/>
      </c>
      <c r="I6" s="9">
        <f>IF(H6="","",IF(COUNTIF(Bank!$F:$F,H6)&gt;0,"Settled","Open"))</f>
        <v/>
      </c>
      <c r="J6" s="9">
        <f>IF(I6&lt;&gt;"Open","",IF(G6&lt;=0,"Current",IF(G6&lt;=30,"1-30",IF(G6&lt;=60,"31-60",IF(G6&lt;=90,"61-90","90+")))))</f>
        <v/>
      </c>
    </row>
    <row r="7">
      <c r="A7" s="8" t="n">
        <v>46176</v>
      </c>
      <c r="B7" s="9" t="inlineStr">
        <is>
          <t>Bill</t>
        </is>
      </c>
      <c r="C7" s="9" t="inlineStr">
        <is>
          <t>Transtate Freight</t>
        </is>
      </c>
      <c r="D7" s="9" t="inlineStr">
        <is>
          <t>BILL-5001</t>
        </is>
      </c>
      <c r="E7" s="10" t="n">
        <v>3949.01</v>
      </c>
      <c r="F7" s="8" t="n">
        <v>46190</v>
      </c>
      <c r="G7" s="9">
        <f>IF(I7="Settled","",MAX(0,TODAY()-F7))</f>
        <v/>
      </c>
      <c r="H7" s="9">
        <f>IF(E7="","",TEXT(E7,"0.00")&amp;"|"&amp;IF(B7="Invoice","AR","AP"))</f>
        <v/>
      </c>
      <c r="I7" s="9">
        <f>IF(H7="","",IF(COUNTIF(Bank!$F:$F,H7)&gt;0,"Settled","Open"))</f>
        <v/>
      </c>
      <c r="J7" s="9">
        <f>IF(I7&lt;&gt;"Open","",IF(G7&lt;=0,"Current",IF(G7&lt;=30,"1-30",IF(G7&lt;=60,"31-60",IF(G7&lt;=90,"61-90","90+")))))</f>
        <v/>
      </c>
    </row>
    <row r="8">
      <c r="A8" s="8" t="n">
        <v>46178</v>
      </c>
      <c r="B8" s="9" t="inlineStr">
        <is>
          <t>Invoice</t>
        </is>
      </c>
      <c r="C8" s="9" t="inlineStr">
        <is>
          <t>Harding Construction</t>
        </is>
      </c>
      <c r="D8" s="9" t="inlineStr">
        <is>
          <t>INV-1001</t>
        </is>
      </c>
      <c r="E8" s="10" t="n">
        <v>4754.33</v>
      </c>
      <c r="F8" s="8" t="n">
        <v>46199</v>
      </c>
      <c r="G8" s="9">
        <f>IF(I8="Settled","",MAX(0,TODAY()-F8))</f>
        <v/>
      </c>
      <c r="H8" s="9">
        <f>IF(E8="","",TEXT(E8,"0.00")&amp;"|"&amp;IF(B8="Invoice","AR","AP"))</f>
        <v/>
      </c>
      <c r="I8" s="9">
        <f>IF(H8="","",IF(COUNTIF(Bank!$F:$F,H8)&gt;0,"Settled","Open"))</f>
        <v/>
      </c>
      <c r="J8" s="9">
        <f>IF(I8&lt;&gt;"Open","",IF(G8&lt;=0,"Current",IF(G8&lt;=30,"1-30",IF(G8&lt;=60,"31-60",IF(G8&lt;=90,"61-90","90+")))))</f>
        <v/>
      </c>
    </row>
    <row r="9">
      <c r="A9" s="8" t="n">
        <v>46178</v>
      </c>
      <c r="B9" s="9" t="inlineStr">
        <is>
          <t>Invoice</t>
        </is>
      </c>
      <c r="C9" s="9" t="inlineStr">
        <is>
          <t>Vale &amp; Sons Painting</t>
        </is>
      </c>
      <c r="D9" s="9" t="inlineStr">
        <is>
          <t>INV-1003</t>
        </is>
      </c>
      <c r="E9" s="10" t="n">
        <v>6707.58</v>
      </c>
      <c r="F9" s="8" t="n">
        <v>46208</v>
      </c>
      <c r="G9" s="9">
        <f>IF(I9="Settled","",MAX(0,TODAY()-F9))</f>
        <v/>
      </c>
      <c r="H9" s="9">
        <f>IF(E9="","",TEXT(E9,"0.00")&amp;"|"&amp;IF(B9="Invoice","AR","AP"))</f>
        <v/>
      </c>
      <c r="I9" s="9">
        <f>IF(H9="","",IF(COUNTIF(Bank!$F:$F,H9)&gt;0,"Settled","Open"))</f>
        <v/>
      </c>
      <c r="J9" s="9">
        <f>IF(I9&lt;&gt;"Open","",IF(G9&lt;=0,"Current",IF(G9&lt;=30,"1-30",IF(G9&lt;=60,"31-60",IF(G9&lt;=90,"61-90","90+")))))</f>
        <v/>
      </c>
    </row>
    <row r="10">
      <c r="A10" s="8" t="n">
        <v>46181</v>
      </c>
      <c r="B10" s="9" t="inlineStr">
        <is>
          <t>Bill</t>
        </is>
      </c>
      <c r="C10" s="9" t="inlineStr">
        <is>
          <t>Transtate Freight</t>
        </is>
      </c>
      <c r="D10" s="9" t="inlineStr">
        <is>
          <t>BILL-5004</t>
        </is>
      </c>
      <c r="E10" s="10" t="n">
        <v>2157.35</v>
      </c>
      <c r="F10" s="8" t="n">
        <v>46195</v>
      </c>
      <c r="G10" s="9">
        <f>IF(I10="Settled","",MAX(0,TODAY()-F10))</f>
        <v/>
      </c>
      <c r="H10" s="9">
        <f>IF(E10="","",TEXT(E10,"0.00")&amp;"|"&amp;IF(B10="Invoice","AR","AP"))</f>
        <v/>
      </c>
      <c r="I10" s="9">
        <f>IF(H10="","",IF(COUNTIF(Bank!$F:$F,H10)&gt;0,"Settled","Open"))</f>
        <v/>
      </c>
      <c r="J10" s="9">
        <f>IF(I10&lt;&gt;"Open","",IF(G10&lt;=0,"Current",IF(G10&lt;=30,"1-30",IF(G10&lt;=60,"31-60",IF(G10&lt;=90,"61-90","90+")))))</f>
        <v/>
      </c>
    </row>
    <row r="11">
      <c r="A11" s="8" t="n">
        <v>46182</v>
      </c>
      <c r="B11" s="9" t="inlineStr">
        <is>
          <t>Invoice</t>
        </is>
      </c>
      <c r="C11" s="9" t="inlineStr">
        <is>
          <t>Dockside Marine</t>
        </is>
      </c>
      <c r="D11" s="9" t="inlineStr">
        <is>
          <t>INV-1006</t>
        </is>
      </c>
      <c r="E11" s="10" t="n">
        <v>5104.92</v>
      </c>
      <c r="F11" s="8" t="n">
        <v>46203</v>
      </c>
      <c r="G11" s="9">
        <f>IF(I11="Settled","",MAX(0,TODAY()-F11))</f>
        <v/>
      </c>
      <c r="H11" s="9">
        <f>IF(E11="","",TEXT(E11,"0.00")&amp;"|"&amp;IF(B11="Invoice","AR","AP"))</f>
        <v/>
      </c>
      <c r="I11" s="9">
        <f>IF(H11="","",IF(COUNTIF(Bank!$F:$F,H11)&gt;0,"Settled","Open"))</f>
        <v/>
      </c>
      <c r="J11" s="9">
        <f>IF(I11&lt;&gt;"Open","",IF(G11&lt;=0,"Current",IF(G11&lt;=30,"1-30",IF(G11&lt;=60,"31-60",IF(G11&lt;=90,"61-90","90+")))))</f>
        <v/>
      </c>
    </row>
    <row r="12">
      <c r="A12" s="8" t="n">
        <v>46182</v>
      </c>
      <c r="B12" s="9" t="inlineStr">
        <is>
          <t>Bill</t>
        </is>
      </c>
      <c r="C12" s="9" t="inlineStr">
        <is>
          <t>Transtate Freight</t>
        </is>
      </c>
      <c r="D12" s="9" t="inlineStr">
        <is>
          <t>BILL-5003</t>
        </is>
      </c>
      <c r="E12" s="10" t="n">
        <v>4741.94</v>
      </c>
      <c r="F12" s="8" t="n">
        <v>46196</v>
      </c>
      <c r="G12" s="9">
        <f>IF(I12="Settled","",MAX(0,TODAY()-F12))</f>
        <v/>
      </c>
      <c r="H12" s="9">
        <f>IF(E12="","",TEXT(E12,"0.00")&amp;"|"&amp;IF(B12="Invoice","AR","AP"))</f>
        <v/>
      </c>
      <c r="I12" s="9">
        <f>IF(H12="","",IF(COUNTIF(Bank!$F:$F,H12)&gt;0,"Settled","Open"))</f>
        <v/>
      </c>
      <c r="J12" s="9">
        <f>IF(I12&lt;&gt;"Open","",IF(G12&lt;=0,"Current",IF(G12&lt;=30,"1-30",IF(G12&lt;=60,"31-60",IF(G12&lt;=90,"61-90","90+")))))</f>
        <v/>
      </c>
    </row>
    <row r="13">
      <c r="A13" s="8" t="n">
        <v>46183</v>
      </c>
      <c r="B13" s="9" t="inlineStr">
        <is>
          <t>Invoice</t>
        </is>
      </c>
      <c r="C13" s="9" t="inlineStr">
        <is>
          <t>Harding Construction</t>
        </is>
      </c>
      <c r="D13" s="9" t="inlineStr">
        <is>
          <t>INV-1004</t>
        </is>
      </c>
      <c r="E13" s="10" t="n">
        <v>4788.59</v>
      </c>
      <c r="F13" s="8" t="n">
        <v>46204</v>
      </c>
      <c r="G13" s="9">
        <f>IF(I13="Settled","",MAX(0,TODAY()-F13))</f>
        <v/>
      </c>
      <c r="H13" s="9">
        <f>IF(E13="","",TEXT(E13,"0.00")&amp;"|"&amp;IF(B13="Invoice","AR","AP"))</f>
        <v/>
      </c>
      <c r="I13" s="9">
        <f>IF(H13="","",IF(COUNTIF(Bank!$F:$F,H13)&gt;0,"Settled","Open"))</f>
        <v/>
      </c>
      <c r="J13" s="9">
        <f>IF(I13&lt;&gt;"Open","",IF(G13&lt;=0,"Current",IF(G13&lt;=30,"1-30",IF(G13&lt;=60,"31-60",IF(G13&lt;=90,"61-90","90+")))))</f>
        <v/>
      </c>
    </row>
    <row r="14">
      <c r="A14" s="8" t="n">
        <v>46184</v>
      </c>
      <c r="B14" s="9" t="inlineStr">
        <is>
          <t>Invoice</t>
        </is>
      </c>
      <c r="C14" s="9" t="inlineStr">
        <is>
          <t>Bayline Interiors</t>
        </is>
      </c>
      <c r="D14" s="9" t="inlineStr">
        <is>
          <t>INV-1005</t>
        </is>
      </c>
      <c r="E14" s="10" t="n">
        <v>8410.75</v>
      </c>
      <c r="F14" s="8" t="n">
        <v>46214</v>
      </c>
      <c r="G14" s="9">
        <f>IF(I14="Settled","",MAX(0,TODAY()-F14))</f>
        <v/>
      </c>
      <c r="H14" s="9">
        <f>IF(E14="","",TEXT(E14,"0.00")&amp;"|"&amp;IF(B14="Invoice","AR","AP"))</f>
        <v/>
      </c>
      <c r="I14" s="9">
        <f>IF(H14="","",IF(COUNTIF(Bank!$F:$F,H14)&gt;0,"Settled","Open"))</f>
        <v/>
      </c>
      <c r="J14" s="9">
        <f>IF(I14&lt;&gt;"Open","",IF(G14&lt;=0,"Current",IF(G14&lt;=30,"1-30",IF(G14&lt;=60,"31-60",IF(G14&lt;=90,"61-90","90+")))))</f>
        <v/>
      </c>
    </row>
    <row r="15">
      <c r="A15" s="8" t="n">
        <v>46184</v>
      </c>
      <c r="B15" s="9" t="inlineStr">
        <is>
          <t>Bill</t>
        </is>
      </c>
      <c r="C15" s="9" t="inlineStr">
        <is>
          <t>Drum &amp; Can Packaging</t>
        </is>
      </c>
      <c r="D15" s="9" t="inlineStr">
        <is>
          <t>BILL-5005</t>
        </is>
      </c>
      <c r="E15" s="10" t="n">
        <v>4716.58</v>
      </c>
      <c r="F15" s="8" t="n">
        <v>46191</v>
      </c>
      <c r="G15" s="9">
        <f>IF(I15="Settled","",MAX(0,TODAY()-F15))</f>
        <v/>
      </c>
      <c r="H15" s="9">
        <f>IF(E15="","",TEXT(E15,"0.00")&amp;"|"&amp;IF(B15="Invoice","AR","AP"))</f>
        <v/>
      </c>
      <c r="I15" s="9">
        <f>IF(H15="","",IF(COUNTIF(Bank!$F:$F,H15)&gt;0,"Settled","Open"))</f>
        <v/>
      </c>
      <c r="J15" s="9">
        <f>IF(I15&lt;&gt;"Open","",IF(G15&lt;=0,"Current",IF(G15&lt;=30,"1-30",IF(G15&lt;=60,"31-60",IF(G15&lt;=90,"61-90","90+")))))</f>
        <v/>
      </c>
    </row>
    <row r="16">
      <c r="A16" s="8" t="n">
        <v>46188</v>
      </c>
      <c r="B16" s="9" t="inlineStr">
        <is>
          <t>Invoice</t>
        </is>
      </c>
      <c r="C16" s="9" t="inlineStr">
        <is>
          <t>Bayline Interiors</t>
        </is>
      </c>
      <c r="D16" s="9" t="inlineStr">
        <is>
          <t>INV-1008</t>
        </is>
      </c>
      <c r="E16" s="10" t="n">
        <v>2850.99</v>
      </c>
      <c r="F16" s="8" t="n">
        <v>46218</v>
      </c>
      <c r="G16" s="9">
        <f>IF(I16="Settled","",MAX(0,TODAY()-F16))</f>
        <v/>
      </c>
      <c r="H16" s="9">
        <f>IF(E16="","",TEXT(E16,"0.00")&amp;"|"&amp;IF(B16="Invoice","AR","AP"))</f>
        <v/>
      </c>
      <c r="I16" s="9">
        <f>IF(H16="","",IF(COUNTIF(Bank!$F:$F,H16)&gt;0,"Settled","Open"))</f>
        <v/>
      </c>
      <c r="J16" s="9">
        <f>IF(I16&lt;&gt;"Open","",IF(G16&lt;=0,"Current",IF(G16&lt;=30,"1-30",IF(G16&lt;=60,"31-60",IF(G16&lt;=90,"61-90","90+")))))</f>
        <v/>
      </c>
    </row>
    <row r="17">
      <c r="A17" s="8" t="n">
        <v>46188</v>
      </c>
      <c r="B17" s="9" t="inlineStr">
        <is>
          <t>Invoice</t>
        </is>
      </c>
      <c r="C17" s="9" t="inlineStr">
        <is>
          <t>Bayline Interiors</t>
        </is>
      </c>
      <c r="D17" s="9" t="inlineStr">
        <is>
          <t>INV-1009</t>
        </is>
      </c>
      <c r="E17" s="10" t="n">
        <v>8947.360000000001</v>
      </c>
      <c r="F17" s="8" t="n">
        <v>46209</v>
      </c>
      <c r="G17" s="9">
        <f>IF(I17="Settled","",MAX(0,TODAY()-F17))</f>
        <v/>
      </c>
      <c r="H17" s="9">
        <f>IF(E17="","",TEXT(E17,"0.00")&amp;"|"&amp;IF(B17="Invoice","AR","AP"))</f>
        <v/>
      </c>
      <c r="I17" s="9">
        <f>IF(H17="","",IF(COUNTIF(Bank!$F:$F,H17)&gt;0,"Settled","Open"))</f>
        <v/>
      </c>
      <c r="J17" s="9">
        <f>IF(I17&lt;&gt;"Open","",IF(G17&lt;=0,"Current",IF(G17&lt;=30,"1-30",IF(G17&lt;=60,"31-60",IF(G17&lt;=90,"61-90","90+")))))</f>
        <v/>
      </c>
    </row>
    <row r="18">
      <c r="A18" s="8" t="n">
        <v>46190</v>
      </c>
      <c r="B18" s="9" t="inlineStr">
        <is>
          <t>Invoice</t>
        </is>
      </c>
      <c r="C18" s="9" t="inlineStr">
        <is>
          <t>Northgate Property Co</t>
        </is>
      </c>
      <c r="D18" s="9" t="inlineStr">
        <is>
          <t>INV-1007</t>
        </is>
      </c>
      <c r="E18" s="10" t="n">
        <v>8803.610000000001</v>
      </c>
      <c r="F18" s="8" t="n">
        <v>46211</v>
      </c>
      <c r="G18" s="9">
        <f>IF(I18="Settled","",MAX(0,TODAY()-F18))</f>
        <v/>
      </c>
      <c r="H18" s="9">
        <f>IF(E18="","",TEXT(E18,"0.00")&amp;"|"&amp;IF(B18="Invoice","AR","AP"))</f>
        <v/>
      </c>
      <c r="I18" s="9">
        <f>IF(H18="","",IF(COUNTIF(Bank!$F:$F,H18)&gt;0,"Settled","Open"))</f>
        <v/>
      </c>
      <c r="J18" s="9">
        <f>IF(I18&lt;&gt;"Open","",IF(G18&lt;=0,"Current",IF(G18&lt;=30,"1-30",IF(G18&lt;=60,"31-60",IF(G18&lt;=90,"61-90","90+")))))</f>
        <v/>
      </c>
    </row>
    <row r="19">
      <c r="A19" s="8" t="n">
        <v>46190</v>
      </c>
      <c r="B19" s="9" t="inlineStr">
        <is>
          <t>Bill</t>
        </is>
      </c>
      <c r="C19" s="9" t="inlineStr">
        <is>
          <t>OfficeWorks Trade</t>
        </is>
      </c>
      <c r="D19" s="9" t="inlineStr">
        <is>
          <t>BILL-5006</t>
        </is>
      </c>
      <c r="E19" s="10" t="n">
        <v>4292.47</v>
      </c>
      <c r="F19" s="8" t="n">
        <v>46204</v>
      </c>
      <c r="G19" s="9">
        <f>IF(I19="Settled","",MAX(0,TODAY()-F19))</f>
        <v/>
      </c>
      <c r="H19" s="9">
        <f>IF(E19="","",TEXT(E19,"0.00")&amp;"|"&amp;IF(B19="Invoice","AR","AP"))</f>
        <v/>
      </c>
      <c r="I19" s="9">
        <f>IF(H19="","",IF(COUNTIF(Bank!$F:$F,H19)&gt;0,"Settled","Open"))</f>
        <v/>
      </c>
      <c r="J19" s="9">
        <f>IF(I19&lt;&gt;"Open","",IF(G19&lt;=0,"Current",IF(G19&lt;=30,"1-30",IF(G19&lt;=60,"31-60",IF(G19&lt;=90,"61-90","90+")))))</f>
        <v/>
      </c>
    </row>
    <row r="20">
      <c r="A20" s="8" t="n">
        <v>46190</v>
      </c>
      <c r="B20" s="9" t="inlineStr">
        <is>
          <t>Bill</t>
        </is>
      </c>
      <c r="C20" s="9" t="inlineStr">
        <is>
          <t>Metro Power</t>
        </is>
      </c>
      <c r="D20" s="9" t="inlineStr">
        <is>
          <t>BILL-5007</t>
        </is>
      </c>
      <c r="E20" s="10" t="n">
        <v>5107.65</v>
      </c>
      <c r="F20" s="8" t="n">
        <v>46220</v>
      </c>
      <c r="G20" s="9">
        <f>IF(I20="Settled","",MAX(0,TODAY()-F20))</f>
        <v/>
      </c>
      <c r="H20" s="9">
        <f>IF(E20="","",TEXT(E20,"0.00")&amp;"|"&amp;IF(B20="Invoice","AR","AP"))</f>
        <v/>
      </c>
      <c r="I20" s="9">
        <f>IF(H20="","",IF(COUNTIF(Bank!$F:$F,H20)&gt;0,"Settled","Open"))</f>
        <v/>
      </c>
      <c r="J20" s="9">
        <f>IF(I20&lt;&gt;"Open","",IF(G20&lt;=0,"Current",IF(G20&lt;=30,"1-30",IF(G20&lt;=60,"31-60",IF(G20&lt;=90,"61-90","90+")))))</f>
        <v/>
      </c>
    </row>
    <row r="21">
      <c r="A21" s="8" t="n">
        <v>46197</v>
      </c>
      <c r="B21" s="9" t="inlineStr">
        <is>
          <t>Invoice</t>
        </is>
      </c>
      <c r="C21" s="9" t="inlineStr">
        <is>
          <t>Vale &amp; Sons Painting</t>
        </is>
      </c>
      <c r="D21" s="9" t="inlineStr">
        <is>
          <t>INV-1011</t>
        </is>
      </c>
      <c r="E21" s="10" t="n">
        <v>9543.98</v>
      </c>
      <c r="F21" s="8" t="n">
        <v>46211</v>
      </c>
      <c r="G21" s="9">
        <f>IF(I21="Settled","",MAX(0,TODAY()-F21))</f>
        <v/>
      </c>
      <c r="H21" s="9">
        <f>IF(E21="","",TEXT(E21,"0.00")&amp;"|"&amp;IF(B21="Invoice","AR","AP"))</f>
        <v/>
      </c>
      <c r="I21" s="9">
        <f>IF(H21="","",IF(COUNTIF(Bank!$F:$F,H21)&gt;0,"Settled","Open"))</f>
        <v/>
      </c>
      <c r="J21" s="9">
        <f>IF(I21&lt;&gt;"Open","",IF(G21&lt;=0,"Current",IF(G21&lt;=30,"1-30",IF(G21&lt;=60,"31-60",IF(G21&lt;=90,"61-90","90+")))))</f>
        <v/>
      </c>
    </row>
    <row r="22">
      <c r="A22" s="8" t="n">
        <v>46198</v>
      </c>
      <c r="B22" s="9" t="inlineStr">
        <is>
          <t>Bill</t>
        </is>
      </c>
      <c r="C22" s="9" t="inlineStr">
        <is>
          <t>Rawlins Resin</t>
        </is>
      </c>
      <c r="D22" s="9" t="inlineStr">
        <is>
          <t>BILL-5008</t>
        </is>
      </c>
      <c r="E22" s="10" t="n">
        <v>4048.45</v>
      </c>
      <c r="F22" s="8" t="n">
        <v>46212</v>
      </c>
      <c r="G22" s="9">
        <f>IF(I22="Settled","",MAX(0,TODAY()-F22))</f>
        <v/>
      </c>
      <c r="H22" s="9">
        <f>IF(E22="","",TEXT(E22,"0.00")&amp;"|"&amp;IF(B22="Invoice","AR","AP"))</f>
        <v/>
      </c>
      <c r="I22" s="9">
        <f>IF(H22="","",IF(COUNTIF(Bank!$F:$F,H22)&gt;0,"Settled","Open"))</f>
        <v/>
      </c>
      <c r="J22" s="9">
        <f>IF(I22&lt;&gt;"Open","",IF(G22&lt;=0,"Current",IF(G22&lt;=30,"1-30",IF(G22&lt;=60,"31-60",IF(G22&lt;=90,"61-90","90+")))))</f>
        <v/>
      </c>
    </row>
    <row r="23">
      <c r="A23" s="8" t="n">
        <v>46198</v>
      </c>
      <c r="B23" s="9" t="inlineStr">
        <is>
          <t>Bill</t>
        </is>
      </c>
      <c r="C23" s="9" t="inlineStr">
        <is>
          <t>Metro Power</t>
        </is>
      </c>
      <c r="D23" s="9" t="inlineStr">
        <is>
          <t>BILL-5009</t>
        </is>
      </c>
      <c r="E23" s="10" t="n">
        <v>2644.1</v>
      </c>
      <c r="F23" s="8" t="n">
        <v>46228</v>
      </c>
      <c r="G23" s="9">
        <f>IF(I23="Settled","",MAX(0,TODAY()-F23))</f>
        <v/>
      </c>
      <c r="H23" s="9">
        <f>IF(E23="","",TEXT(E23,"0.00")&amp;"|"&amp;IF(B23="Invoice","AR","AP"))</f>
        <v/>
      </c>
      <c r="I23" s="9">
        <f>IF(H23="","",IF(COUNTIF(Bank!$F:$F,H23)&gt;0,"Settled","Open"))</f>
        <v/>
      </c>
      <c r="J23" s="9">
        <f>IF(I23&lt;&gt;"Open","",IF(G23&lt;=0,"Current",IF(G23&lt;=30,"1-30",IF(G23&lt;=60,"31-60",IF(G23&lt;=90,"61-90","90+")))))</f>
        <v/>
      </c>
    </row>
    <row r="24">
      <c r="A24" s="8" t="n">
        <v>46198</v>
      </c>
      <c r="B24" s="9" t="inlineStr">
        <is>
          <t>Bill</t>
        </is>
      </c>
      <c r="C24" s="9" t="inlineStr">
        <is>
          <t>Drum &amp; Can Packaging</t>
        </is>
      </c>
      <c r="D24" s="9" t="inlineStr">
        <is>
          <t>BILL-5010</t>
        </is>
      </c>
      <c r="E24" s="10" t="n">
        <v>835.9400000000001</v>
      </c>
      <c r="F24" s="8" t="n">
        <v>46212</v>
      </c>
      <c r="G24" s="9">
        <f>IF(I24="Settled","",MAX(0,TODAY()-F24))</f>
        <v/>
      </c>
      <c r="H24" s="9">
        <f>IF(E24="","",TEXT(E24,"0.00")&amp;"|"&amp;IF(B24="Invoice","AR","AP"))</f>
        <v/>
      </c>
      <c r="I24" s="9">
        <f>IF(H24="","",IF(COUNTIF(Bank!$F:$F,H24)&gt;0,"Settled","Open"))</f>
        <v/>
      </c>
      <c r="J24" s="9">
        <f>IF(I24&lt;&gt;"Open","",IF(G24&lt;=0,"Current",IF(G24&lt;=30,"1-30",IF(G24&lt;=60,"31-60",IF(G24&lt;=90,"61-90","90+")))))</f>
        <v/>
      </c>
    </row>
    <row r="25">
      <c r="A25" s="8" t="n">
        <v>46199</v>
      </c>
      <c r="B25" s="9" t="inlineStr">
        <is>
          <t>Invoice</t>
        </is>
      </c>
      <c r="C25" s="9" t="inlineStr">
        <is>
          <t>Harding Construction</t>
        </is>
      </c>
      <c r="D25" s="9" t="inlineStr">
        <is>
          <t>INV-1010</t>
        </is>
      </c>
      <c r="E25" s="10" t="n">
        <v>3849.41</v>
      </c>
      <c r="F25" s="8" t="n">
        <v>46229</v>
      </c>
      <c r="G25" s="9">
        <f>IF(I25="Settled","",MAX(0,TODAY()-F25))</f>
        <v/>
      </c>
      <c r="H25" s="9">
        <f>IF(E25="","",TEXT(E25,"0.00")&amp;"|"&amp;IF(B25="Invoice","AR","AP"))</f>
        <v/>
      </c>
      <c r="I25" s="9">
        <f>IF(H25="","",IF(COUNTIF(Bank!$F:$F,H25)&gt;0,"Settled","Open"))</f>
        <v/>
      </c>
      <c r="J25" s="9">
        <f>IF(I25&lt;&gt;"Open","",IF(G25&lt;=0,"Current",IF(G25&lt;=30,"1-30",IF(G25&lt;=60,"31-60",IF(G25&lt;=90,"61-90","90+")))))</f>
        <v/>
      </c>
    </row>
    <row r="26">
      <c r="A26" s="8" t="n">
        <v>46202</v>
      </c>
      <c r="B26" s="9" t="inlineStr">
        <is>
          <t>Invoice</t>
        </is>
      </c>
      <c r="C26" s="9" t="inlineStr">
        <is>
          <t>Ellerslie Fitout</t>
        </is>
      </c>
      <c r="D26" s="9" t="inlineStr">
        <is>
          <t>INV-1013</t>
        </is>
      </c>
      <c r="E26" s="10" t="n">
        <v>7189.14</v>
      </c>
      <c r="F26" s="8" t="n">
        <v>46216</v>
      </c>
      <c r="G26" s="9">
        <f>IF(I26="Settled","",MAX(0,TODAY()-F26))</f>
        <v/>
      </c>
      <c r="H26" s="9">
        <f>IF(E26="","",TEXT(E26,"0.00")&amp;"|"&amp;IF(B26="Invoice","AR","AP"))</f>
        <v/>
      </c>
      <c r="I26" s="9">
        <f>IF(H26="","",IF(COUNTIF(Bank!$F:$F,H26)&gt;0,"Settled","Open"))</f>
        <v/>
      </c>
      <c r="J26" s="9">
        <f>IF(I26&lt;&gt;"Open","",IF(G26&lt;=0,"Current",IF(G26&lt;=30,"1-30",IF(G26&lt;=60,"31-60",IF(G26&lt;=90,"61-90","90+")))))</f>
        <v/>
      </c>
    </row>
    <row r="27">
      <c r="A27" s="8" t="n">
        <v>46202</v>
      </c>
      <c r="B27" s="9" t="inlineStr">
        <is>
          <t>Bill</t>
        </is>
      </c>
      <c r="C27" s="9" t="inlineStr">
        <is>
          <t>Drum &amp; Can Packaging</t>
        </is>
      </c>
      <c r="D27" s="9" t="inlineStr">
        <is>
          <t>BILL-5011</t>
        </is>
      </c>
      <c r="E27" s="10" t="n">
        <v>3187.22</v>
      </c>
      <c r="F27" s="8" t="n">
        <v>46232</v>
      </c>
      <c r="G27" s="9">
        <f>IF(I27="Settled","",MAX(0,TODAY()-F27))</f>
        <v/>
      </c>
      <c r="H27" s="9">
        <f>IF(E27="","",TEXT(E27,"0.00")&amp;"|"&amp;IF(B27="Invoice","AR","AP"))</f>
        <v/>
      </c>
      <c r="I27" s="9">
        <f>IF(H27="","",IF(COUNTIF(Bank!$F:$F,H27)&gt;0,"Settled","Open"))</f>
        <v/>
      </c>
      <c r="J27" s="9">
        <f>IF(I27&lt;&gt;"Open","",IF(G27&lt;=0,"Current",IF(G27&lt;=30,"1-30",IF(G27&lt;=60,"31-60",IF(G27&lt;=90,"61-90","90+")))))</f>
        <v/>
      </c>
    </row>
    <row r="28">
      <c r="A28" s="8" t="n">
        <v>46204</v>
      </c>
      <c r="B28" s="9" t="inlineStr">
        <is>
          <t>Invoice</t>
        </is>
      </c>
      <c r="C28" s="9" t="inlineStr">
        <is>
          <t>Northgate Property Co</t>
        </is>
      </c>
      <c r="D28" s="9" t="inlineStr">
        <is>
          <t>INV-1012</t>
        </is>
      </c>
      <c r="E28" s="10" t="n">
        <v>1529.96</v>
      </c>
      <c r="F28" s="8" t="n">
        <v>46234</v>
      </c>
      <c r="G28" s="9">
        <f>IF(I28="Settled","",MAX(0,TODAY()-F28))</f>
        <v/>
      </c>
      <c r="H28" s="9">
        <f>IF(E28="","",TEXT(E28,"0.00")&amp;"|"&amp;IF(B28="Invoice","AR","AP"))</f>
        <v/>
      </c>
      <c r="I28" s="9">
        <f>IF(H28="","",IF(COUNTIF(Bank!$F:$F,H28)&gt;0,"Settled","Open"))</f>
        <v/>
      </c>
      <c r="J28" s="9">
        <f>IF(I28&lt;&gt;"Open","",IF(G28&lt;=0,"Current",IF(G28&lt;=30,"1-30",IF(G28&lt;=60,"31-60",IF(G28&lt;=90,"61-90","90+")))))</f>
        <v/>
      </c>
    </row>
    <row r="29">
      <c r="A29" s="8" t="n">
        <v>46204</v>
      </c>
      <c r="B29" s="9" t="inlineStr">
        <is>
          <t>Bill</t>
        </is>
      </c>
      <c r="C29" s="9" t="inlineStr">
        <is>
          <t>Southline Logistics</t>
        </is>
      </c>
      <c r="D29" s="9" t="inlineStr">
        <is>
          <t>BILL-5012</t>
        </is>
      </c>
      <c r="E29" s="10" t="n">
        <v>4594.74</v>
      </c>
      <c r="F29" s="8" t="n">
        <v>46211</v>
      </c>
      <c r="G29" s="9">
        <f>IF(I29="Settled","",MAX(0,TODAY()-F29))</f>
        <v/>
      </c>
      <c r="H29" s="9">
        <f>IF(E29="","",TEXT(E29,"0.00")&amp;"|"&amp;IF(B29="Invoice","AR","AP"))</f>
        <v/>
      </c>
      <c r="I29" s="9">
        <f>IF(H29="","",IF(COUNTIF(Bank!$F:$F,H29)&gt;0,"Settled","Open"))</f>
        <v/>
      </c>
      <c r="J29" s="9">
        <f>IF(I29&lt;&gt;"Open","",IF(G29&lt;=0,"Current",IF(G29&lt;=30,"1-30",IF(G29&lt;=60,"31-60",IF(G29&lt;=90,"61-90","90+")))))</f>
        <v/>
      </c>
    </row>
    <row r="30">
      <c r="A30" s="8" t="n">
        <v>46204</v>
      </c>
      <c r="B30" s="9" t="inlineStr">
        <is>
          <t>Bill</t>
        </is>
      </c>
      <c r="C30" s="9" t="inlineStr">
        <is>
          <t>Solvent Direct</t>
        </is>
      </c>
      <c r="D30" s="9" t="inlineStr">
        <is>
          <t>BILL-5013</t>
        </is>
      </c>
      <c r="E30" s="10" t="n">
        <v>4436.19</v>
      </c>
      <c r="F30" s="8" t="n">
        <v>46211</v>
      </c>
      <c r="G30" s="9">
        <f>IF(I30="Settled","",MAX(0,TODAY()-F30))</f>
        <v/>
      </c>
      <c r="H30" s="9">
        <f>IF(E30="","",TEXT(E30,"0.00")&amp;"|"&amp;IF(B30="Invoice","AR","AP"))</f>
        <v/>
      </c>
      <c r="I30" s="9">
        <f>IF(H30="","",IF(COUNTIF(Bank!$F:$F,H30)&gt;0,"Settled","Open"))</f>
        <v/>
      </c>
      <c r="J30" s="9">
        <f>IF(I30&lt;&gt;"Open","",IF(G30&lt;=0,"Current",IF(G30&lt;=30,"1-30",IF(G30&lt;=60,"31-60",IF(G30&lt;=90,"61-90","90+")))))</f>
        <v/>
      </c>
    </row>
    <row r="31">
      <c r="A31" s="8" t="n">
        <v>46205</v>
      </c>
      <c r="B31" s="9" t="inlineStr">
        <is>
          <t>Invoice</t>
        </is>
      </c>
      <c r="C31" s="9" t="inlineStr">
        <is>
          <t>Crestwood Builders</t>
        </is>
      </c>
      <c r="D31" s="9" t="inlineStr">
        <is>
          <t>INV-1014</t>
        </is>
      </c>
      <c r="E31" s="10" t="n">
        <v>1430.23</v>
      </c>
      <c r="F31" s="8" t="n">
        <v>46226</v>
      </c>
      <c r="G31" s="9">
        <f>IF(I31="Settled","",MAX(0,TODAY()-F31))</f>
        <v/>
      </c>
      <c r="H31" s="9">
        <f>IF(E31="","",TEXT(E31,"0.00")&amp;"|"&amp;IF(B31="Invoice","AR","AP"))</f>
        <v/>
      </c>
      <c r="I31" s="9">
        <f>IF(H31="","",IF(COUNTIF(Bank!$F:$F,H31)&gt;0,"Settled","Open"))</f>
        <v/>
      </c>
      <c r="J31" s="9">
        <f>IF(I31&lt;&gt;"Open","",IF(G31&lt;=0,"Current",IF(G31&lt;=30,"1-30",IF(G31&lt;=60,"31-60",IF(G31&lt;=90,"61-90","90+")))))</f>
        <v/>
      </c>
    </row>
    <row r="32">
      <c r="A32" s="8" t="n">
        <v>46206</v>
      </c>
      <c r="B32" s="9" t="inlineStr">
        <is>
          <t>Invoice</t>
        </is>
      </c>
      <c r="C32" s="9" t="inlineStr">
        <is>
          <t>Quay Street Developments</t>
        </is>
      </c>
      <c r="D32" s="9" t="inlineStr">
        <is>
          <t>INV-1015</t>
        </is>
      </c>
      <c r="E32" s="10" t="n">
        <v>2266.34</v>
      </c>
      <c r="F32" s="8" t="n">
        <v>46236</v>
      </c>
      <c r="G32" s="9">
        <f>IF(I32="Settled","",MAX(0,TODAY()-F32))</f>
        <v/>
      </c>
      <c r="H32" s="9">
        <f>IF(E32="","",TEXT(E32,"0.00")&amp;"|"&amp;IF(B32="Invoice","AR","AP"))</f>
        <v/>
      </c>
      <c r="I32" s="9">
        <f>IF(H32="","",IF(COUNTIF(Bank!$F:$F,H32)&gt;0,"Settled","Open"))</f>
        <v/>
      </c>
      <c r="J32" s="9">
        <f>IF(I32&lt;&gt;"Open","",IF(G32&lt;=0,"Current",IF(G32&lt;=30,"1-30",IF(G32&lt;=60,"31-60",IF(G32&lt;=90,"61-90","90+")))))</f>
        <v/>
      </c>
    </row>
    <row r="33">
      <c r="A33" s="8" t="n">
        <v>46209</v>
      </c>
      <c r="B33" s="9" t="inlineStr">
        <is>
          <t>Invoice</t>
        </is>
      </c>
      <c r="C33" s="9" t="inlineStr">
        <is>
          <t>Northgate Property Co</t>
        </is>
      </c>
      <c r="D33" s="9" t="inlineStr">
        <is>
          <t>INV-1016</t>
        </is>
      </c>
      <c r="E33" s="10" t="n">
        <v>8139.79</v>
      </c>
      <c r="F33" s="8" t="n">
        <v>46239</v>
      </c>
      <c r="G33" s="9">
        <f>IF(I33="Settled","",MAX(0,TODAY()-F33))</f>
        <v/>
      </c>
      <c r="H33" s="9">
        <f>IF(E33="","",TEXT(E33,"0.00")&amp;"|"&amp;IF(B33="Invoice","AR","AP"))</f>
        <v/>
      </c>
      <c r="I33" s="9">
        <f>IF(H33="","",IF(COUNTIF(Bank!$F:$F,H33)&gt;0,"Settled","Open"))</f>
        <v/>
      </c>
      <c r="J33" s="9">
        <f>IF(I33&lt;&gt;"Open","",IF(G33&lt;=0,"Current",IF(G33&lt;=30,"1-30",IF(G33&lt;=60,"31-60",IF(G33&lt;=90,"61-90","90+")))))</f>
        <v/>
      </c>
    </row>
    <row r="34">
      <c r="A34" s="8" t="n">
        <v>46209</v>
      </c>
      <c r="B34" s="9" t="inlineStr">
        <is>
          <t>Invoice</t>
        </is>
      </c>
      <c r="C34" s="9" t="inlineStr">
        <is>
          <t>Harding Construction</t>
        </is>
      </c>
      <c r="D34" s="9" t="inlineStr">
        <is>
          <t>INV-1018</t>
        </is>
      </c>
      <c r="E34" s="10" t="n">
        <v>8492</v>
      </c>
      <c r="F34" s="8" t="n">
        <v>46230</v>
      </c>
      <c r="G34" s="9">
        <f>IF(I34="Settled","",MAX(0,TODAY()-F34))</f>
        <v/>
      </c>
      <c r="H34" s="9">
        <f>IF(E34="","",TEXT(E34,"0.00")&amp;"|"&amp;IF(B34="Invoice","AR","AP"))</f>
        <v/>
      </c>
      <c r="I34" s="9">
        <f>IF(H34="","",IF(COUNTIF(Bank!$F:$F,H34)&gt;0,"Settled","Open"))</f>
        <v/>
      </c>
      <c r="J34" s="9">
        <f>IF(I34&lt;&gt;"Open","",IF(G34&lt;=0,"Current",IF(G34&lt;=30,"1-30",IF(G34&lt;=60,"31-60",IF(G34&lt;=90,"61-90","90+")))))</f>
        <v/>
      </c>
    </row>
    <row r="35">
      <c r="A35" s="8" t="n">
        <v>46209</v>
      </c>
      <c r="B35" s="9" t="inlineStr">
        <is>
          <t>Invoice</t>
        </is>
      </c>
      <c r="C35" s="9" t="inlineStr">
        <is>
          <t>Quay Street Developments</t>
        </is>
      </c>
      <c r="D35" s="9" t="inlineStr">
        <is>
          <t>INV-1019</t>
        </is>
      </c>
      <c r="E35" s="10" t="n">
        <v>2993.68</v>
      </c>
      <c r="F35" s="8" t="n">
        <v>46230</v>
      </c>
      <c r="G35" s="9">
        <f>IF(I35="Settled","",MAX(0,TODAY()-F35))</f>
        <v/>
      </c>
      <c r="H35" s="9">
        <f>IF(E35="","",TEXT(E35,"0.00")&amp;"|"&amp;IF(B35="Invoice","AR","AP"))</f>
        <v/>
      </c>
      <c r="I35" s="9">
        <f>IF(H35="","",IF(COUNTIF(Bank!$F:$F,H35)&gt;0,"Settled","Open"))</f>
        <v/>
      </c>
      <c r="J35" s="9">
        <f>IF(I35&lt;&gt;"Open","",IF(G35&lt;=0,"Current",IF(G35&lt;=30,"1-30",IF(G35&lt;=60,"31-60",IF(G35&lt;=90,"61-90","90+")))))</f>
        <v/>
      </c>
    </row>
    <row r="36">
      <c r="A36" s="8" t="n">
        <v>46209</v>
      </c>
      <c r="B36" s="9" t="inlineStr">
        <is>
          <t>Bill</t>
        </is>
      </c>
      <c r="C36" s="9" t="inlineStr">
        <is>
          <t>Southline Logistics</t>
        </is>
      </c>
      <c r="D36" s="9" t="inlineStr">
        <is>
          <t>BILL-5015</t>
        </is>
      </c>
      <c r="E36" s="10" t="n">
        <v>2643.95</v>
      </c>
      <c r="F36" s="8" t="n">
        <v>46216</v>
      </c>
      <c r="G36" s="9">
        <f>IF(I36="Settled","",MAX(0,TODAY()-F36))</f>
        <v/>
      </c>
      <c r="H36" s="9">
        <f>IF(E36="","",TEXT(E36,"0.00")&amp;"|"&amp;IF(B36="Invoice","AR","AP"))</f>
        <v/>
      </c>
      <c r="I36" s="9">
        <f>IF(H36="","",IF(COUNTIF(Bank!$F:$F,H36)&gt;0,"Settled","Open"))</f>
        <v/>
      </c>
      <c r="J36" s="9">
        <f>IF(I36&lt;&gt;"Open","",IF(G36&lt;=0,"Current",IF(G36&lt;=30,"1-30",IF(G36&lt;=60,"31-60",IF(G36&lt;=90,"61-90","90+")))))</f>
        <v/>
      </c>
    </row>
    <row r="37">
      <c r="A37" s="8" t="n">
        <v>46211</v>
      </c>
      <c r="B37" s="9" t="inlineStr">
        <is>
          <t>Invoice</t>
        </is>
      </c>
      <c r="C37" s="9" t="inlineStr">
        <is>
          <t>Dockside Marine</t>
        </is>
      </c>
      <c r="D37" s="9" t="inlineStr">
        <is>
          <t>INV-1017</t>
        </is>
      </c>
      <c r="E37" s="10" t="n">
        <v>5606.07</v>
      </c>
      <c r="F37" s="8" t="n">
        <v>46225</v>
      </c>
      <c r="G37" s="9">
        <f>IF(I37="Settled","",MAX(0,TODAY()-F37))</f>
        <v/>
      </c>
      <c r="H37" s="9">
        <f>IF(E37="","",TEXT(E37,"0.00")&amp;"|"&amp;IF(B37="Invoice","AR","AP"))</f>
        <v/>
      </c>
      <c r="I37" s="9">
        <f>IF(H37="","",IF(COUNTIF(Bank!$F:$F,H37)&gt;0,"Settled","Open"))</f>
        <v/>
      </c>
      <c r="J37" s="9">
        <f>IF(I37&lt;&gt;"Open","",IF(G37&lt;=0,"Current",IF(G37&lt;=30,"1-30",IF(G37&lt;=60,"31-60",IF(G37&lt;=90,"61-90","90+")))))</f>
        <v/>
      </c>
    </row>
    <row r="38">
      <c r="A38" s="8" t="n">
        <v>46213</v>
      </c>
      <c r="B38" s="9" t="inlineStr">
        <is>
          <t>Bill</t>
        </is>
      </c>
      <c r="C38" s="9" t="inlineStr">
        <is>
          <t>OfficeWorks Trade</t>
        </is>
      </c>
      <c r="D38" s="9" t="inlineStr">
        <is>
          <t>BILL-5014</t>
        </is>
      </c>
      <c r="E38" s="10" t="n">
        <v>1250.45</v>
      </c>
      <c r="F38" s="8" t="n">
        <v>46220</v>
      </c>
      <c r="G38" s="9">
        <f>IF(I38="Settled","",MAX(0,TODAY()-F38))</f>
        <v/>
      </c>
      <c r="H38" s="9">
        <f>IF(E38="","",TEXT(E38,"0.00")&amp;"|"&amp;IF(B38="Invoice","AR","AP"))</f>
        <v/>
      </c>
      <c r="I38" s="9">
        <f>IF(H38="","",IF(COUNTIF(Bank!$F:$F,H38)&gt;0,"Settled","Open"))</f>
        <v/>
      </c>
      <c r="J38" s="9">
        <f>IF(I38&lt;&gt;"Open","",IF(G38&lt;=0,"Current",IF(G38&lt;=30,"1-30",IF(G38&lt;=60,"31-60",IF(G38&lt;=90,"61-90","90+")))))</f>
        <v/>
      </c>
    </row>
    <row r="39">
      <c r="A39" s="8" t="n">
        <v>46216</v>
      </c>
      <c r="B39" s="9" t="inlineStr">
        <is>
          <t>Bill</t>
        </is>
      </c>
      <c r="C39" s="9" t="inlineStr">
        <is>
          <t>Southline Logistics</t>
        </is>
      </c>
      <c r="D39" s="9" t="inlineStr">
        <is>
          <t>BILL-5017</t>
        </is>
      </c>
      <c r="E39" s="10" t="n">
        <v>2313.38</v>
      </c>
      <c r="F39" s="8" t="n">
        <v>46246</v>
      </c>
      <c r="G39" s="9">
        <f>IF(I39="Settled","",MAX(0,TODAY()-F39))</f>
        <v/>
      </c>
      <c r="H39" s="9">
        <f>IF(E39="","",TEXT(E39,"0.00")&amp;"|"&amp;IF(B39="Invoice","AR","AP"))</f>
        <v/>
      </c>
      <c r="I39" s="9">
        <f>IF(H39="","",IF(COUNTIF(Bank!$F:$F,H39)&gt;0,"Settled","Open"))</f>
        <v/>
      </c>
      <c r="J39" s="9">
        <f>IF(I39&lt;&gt;"Open","",IF(G39&lt;=0,"Current",IF(G39&lt;=30,"1-30",IF(G39&lt;=60,"31-60",IF(G39&lt;=90,"61-90","90+")))))</f>
        <v/>
      </c>
    </row>
    <row r="40">
      <c r="A40" s="8" t="n">
        <v>46217</v>
      </c>
      <c r="B40" s="9" t="inlineStr">
        <is>
          <t>Invoice</t>
        </is>
      </c>
      <c r="C40" s="9" t="inlineStr">
        <is>
          <t>Crestwood Builders</t>
        </is>
      </c>
      <c r="D40" s="9" t="inlineStr">
        <is>
          <t>INV-1020</t>
        </is>
      </c>
      <c r="E40" s="10" t="n">
        <v>1084.25</v>
      </c>
      <c r="F40" s="8" t="n">
        <v>46238</v>
      </c>
      <c r="G40" s="9">
        <f>IF(I40="Settled","",MAX(0,TODAY()-F40))</f>
        <v/>
      </c>
      <c r="H40" s="9">
        <f>IF(E40="","",TEXT(E40,"0.00")&amp;"|"&amp;IF(B40="Invoice","AR","AP"))</f>
        <v/>
      </c>
      <c r="I40" s="9">
        <f>IF(H40="","",IF(COUNTIF(Bank!$F:$F,H40)&gt;0,"Settled","Open"))</f>
        <v/>
      </c>
      <c r="J40" s="9">
        <f>IF(I40&lt;&gt;"Open","",IF(G40&lt;=0,"Current",IF(G40&lt;=30,"1-30",IF(G40&lt;=60,"31-60",IF(G40&lt;=90,"61-90","90+")))))</f>
        <v/>
      </c>
    </row>
    <row r="41">
      <c r="A41" s="8" t="n">
        <v>46217</v>
      </c>
      <c r="B41" s="9" t="inlineStr">
        <is>
          <t>Invoice</t>
        </is>
      </c>
      <c r="C41" s="9" t="inlineStr">
        <is>
          <t>Quay Street Developments</t>
        </is>
      </c>
      <c r="D41" s="9" t="inlineStr">
        <is>
          <t>INV-1021</t>
        </is>
      </c>
      <c r="E41" s="10" t="n">
        <v>4715.57</v>
      </c>
      <c r="F41" s="8" t="n">
        <v>46247</v>
      </c>
      <c r="G41" s="9">
        <f>IF(I41="Settled","",MAX(0,TODAY()-F41))</f>
        <v/>
      </c>
      <c r="H41" s="9">
        <f>IF(E41="","",TEXT(E41,"0.00")&amp;"|"&amp;IF(B41="Invoice","AR","AP"))</f>
        <v/>
      </c>
      <c r="I41" s="9">
        <f>IF(H41="","",IF(COUNTIF(Bank!$F:$F,H41)&gt;0,"Settled","Open"))</f>
        <v/>
      </c>
      <c r="J41" s="9">
        <f>IF(I41&lt;&gt;"Open","",IF(G41&lt;=0,"Current",IF(G41&lt;=30,"1-30",IF(G41&lt;=60,"31-60",IF(G41&lt;=90,"61-90","90+")))))</f>
        <v/>
      </c>
    </row>
    <row r="42">
      <c r="A42" s="8" t="n">
        <v>46218</v>
      </c>
      <c r="B42" s="9" t="inlineStr">
        <is>
          <t>Bill</t>
        </is>
      </c>
      <c r="C42" s="9" t="inlineStr">
        <is>
          <t>Solvent Direct</t>
        </is>
      </c>
      <c r="D42" s="9" t="inlineStr">
        <is>
          <t>BILL-5018</t>
        </is>
      </c>
      <c r="E42" s="10" t="n">
        <v>953.55</v>
      </c>
      <c r="F42" s="8" t="n">
        <v>46225</v>
      </c>
      <c r="G42" s="9">
        <f>IF(I42="Settled","",MAX(0,TODAY()-F42))</f>
        <v/>
      </c>
      <c r="H42" s="9">
        <f>IF(E42="","",TEXT(E42,"0.00")&amp;"|"&amp;IF(B42="Invoice","AR","AP"))</f>
        <v/>
      </c>
      <c r="I42" s="9">
        <f>IF(H42="","",IF(COUNTIF(Bank!$F:$F,H42)&gt;0,"Settled","Open"))</f>
        <v/>
      </c>
      <c r="J42" s="9">
        <f>IF(I42&lt;&gt;"Open","",IF(G42&lt;=0,"Current",IF(G42&lt;=30,"1-30",IF(G42&lt;=60,"31-60",IF(G42&lt;=90,"61-90","90+")))))</f>
        <v/>
      </c>
    </row>
    <row r="43">
      <c r="A43" s="8" t="n">
        <v>46219</v>
      </c>
      <c r="B43" s="9" t="inlineStr">
        <is>
          <t>Invoice</t>
        </is>
      </c>
      <c r="C43" s="9" t="inlineStr">
        <is>
          <t>Dockside Marine</t>
        </is>
      </c>
      <c r="D43" s="9" t="inlineStr">
        <is>
          <t>INV-1022</t>
        </is>
      </c>
      <c r="E43" s="10" t="n">
        <v>6966.46</v>
      </c>
      <c r="F43" s="8" t="n">
        <v>46240</v>
      </c>
      <c r="G43" s="9">
        <f>IF(I43="Settled","",MAX(0,TODAY()-F43))</f>
        <v/>
      </c>
      <c r="H43" s="9">
        <f>IF(E43="","",TEXT(E43,"0.00")&amp;"|"&amp;IF(B43="Invoice","AR","AP"))</f>
        <v/>
      </c>
      <c r="I43" s="9">
        <f>IF(H43="","",IF(COUNTIF(Bank!$F:$F,H43)&gt;0,"Settled","Open"))</f>
        <v/>
      </c>
      <c r="J43" s="9">
        <f>IF(I43&lt;&gt;"Open","",IF(G43&lt;=0,"Current",IF(G43&lt;=30,"1-30",IF(G43&lt;=60,"31-60",IF(G43&lt;=90,"61-90","90+")))))</f>
        <v/>
      </c>
    </row>
    <row r="44">
      <c r="A44" s="8" t="n">
        <v>46219</v>
      </c>
      <c r="B44" s="9" t="inlineStr">
        <is>
          <t>Invoice</t>
        </is>
      </c>
      <c r="C44" s="9" t="inlineStr">
        <is>
          <t>Ellerslie Fitout</t>
        </is>
      </c>
      <c r="D44" s="9" t="inlineStr">
        <is>
          <t>INV-1023</t>
        </is>
      </c>
      <c r="E44" s="10" t="n">
        <v>4318.6</v>
      </c>
      <c r="F44" s="8" t="n">
        <v>46249</v>
      </c>
      <c r="G44" s="9">
        <f>IF(I44="Settled","",MAX(0,TODAY()-F44))</f>
        <v/>
      </c>
      <c r="H44" s="9">
        <f>IF(E44="","",TEXT(E44,"0.00")&amp;"|"&amp;IF(B44="Invoice","AR","AP"))</f>
        <v/>
      </c>
      <c r="I44" s="9">
        <f>IF(H44="","",IF(COUNTIF(Bank!$F:$F,H44)&gt;0,"Settled","Open"))</f>
        <v/>
      </c>
      <c r="J44" s="9">
        <f>IF(I44&lt;&gt;"Open","",IF(G44&lt;=0,"Current",IF(G44&lt;=30,"1-30",IF(G44&lt;=60,"31-60",IF(G44&lt;=90,"61-90","90+")))))</f>
        <v/>
      </c>
    </row>
    <row r="45">
      <c r="A45" s="8" t="n">
        <v>46220</v>
      </c>
      <c r="B45" s="9" t="inlineStr">
        <is>
          <t>Bill</t>
        </is>
      </c>
      <c r="C45" s="9" t="inlineStr">
        <is>
          <t>OfficeWorks Trade</t>
        </is>
      </c>
      <c r="D45" s="9" t="inlineStr">
        <is>
          <t>BILL-5016</t>
        </is>
      </c>
      <c r="E45" s="10" t="n">
        <v>1166.65</v>
      </c>
      <c r="F45" s="8" t="n">
        <v>46234</v>
      </c>
      <c r="G45" s="9">
        <f>IF(I45="Settled","",MAX(0,TODAY()-F45))</f>
        <v/>
      </c>
      <c r="H45" s="9">
        <f>IF(E45="","",TEXT(E45,"0.00")&amp;"|"&amp;IF(B45="Invoice","AR","AP"))</f>
        <v/>
      </c>
      <c r="I45" s="9">
        <f>IF(H45="","",IF(COUNTIF(Bank!$F:$F,H45)&gt;0,"Settled","Open"))</f>
        <v/>
      </c>
      <c r="J45" s="9">
        <f>IF(I45&lt;&gt;"Open","",IF(G45&lt;=0,"Current",IF(G45&lt;=30,"1-30",IF(G45&lt;=60,"31-60",IF(G45&lt;=90,"61-90","90+")))))</f>
        <v/>
      </c>
    </row>
    <row r="46">
      <c r="A46" s="8" t="n">
        <v>46223</v>
      </c>
      <c r="B46" s="9" t="inlineStr">
        <is>
          <t>Invoice</t>
        </is>
      </c>
      <c r="C46" s="9" t="inlineStr">
        <is>
          <t>Ellerslie Fitout</t>
        </is>
      </c>
      <c r="D46" s="9" t="inlineStr">
        <is>
          <t>INV-1024</t>
        </is>
      </c>
      <c r="E46" s="10" t="n">
        <v>1694.75</v>
      </c>
      <c r="F46" s="8" t="n">
        <v>46237</v>
      </c>
      <c r="G46" s="9">
        <f>IF(I46="Settled","",MAX(0,TODAY()-F46))</f>
        <v/>
      </c>
      <c r="H46" s="9">
        <f>IF(E46="","",TEXT(E46,"0.00")&amp;"|"&amp;IF(B46="Invoice","AR","AP"))</f>
        <v/>
      </c>
      <c r="I46" s="9">
        <f>IF(H46="","",IF(COUNTIF(Bank!$F:$F,H46)&gt;0,"Settled","Open"))</f>
        <v/>
      </c>
      <c r="J46" s="9">
        <f>IF(I46&lt;&gt;"Open","",IF(G46&lt;=0,"Current",IF(G46&lt;=30,"1-30",IF(G46&lt;=60,"31-60",IF(G46&lt;=90,"61-90","90+")))))</f>
        <v/>
      </c>
    </row>
    <row r="47">
      <c r="A47" s="8" t="n">
        <v>46224</v>
      </c>
      <c r="B47" s="9" t="inlineStr">
        <is>
          <t>Bill</t>
        </is>
      </c>
      <c r="C47" s="9" t="inlineStr">
        <is>
          <t>OfficeWorks Trade</t>
        </is>
      </c>
      <c r="D47" s="9" t="inlineStr">
        <is>
          <t>BILL-5019</t>
        </is>
      </c>
      <c r="E47" s="10" t="n">
        <v>4758.77</v>
      </c>
      <c r="F47" s="8" t="n">
        <v>46231</v>
      </c>
      <c r="G47" s="9">
        <f>IF(I47="Settled","",MAX(0,TODAY()-F47))</f>
        <v/>
      </c>
      <c r="H47" s="9">
        <f>IF(E47="","",TEXT(E47,"0.00")&amp;"|"&amp;IF(B47="Invoice","AR","AP"))</f>
        <v/>
      </c>
      <c r="I47" s="9">
        <f>IF(H47="","",IF(COUNTIF(Bank!$F:$F,H47)&gt;0,"Settled","Open"))</f>
        <v/>
      </c>
      <c r="J47" s="9">
        <f>IF(I47&lt;&gt;"Open","",IF(G47&lt;=0,"Current",IF(G47&lt;=30,"1-30",IF(G47&lt;=60,"31-60",IF(G47&lt;=90,"61-90","90+")))))</f>
        <v/>
      </c>
    </row>
    <row r="48">
      <c r="A48" s="8" t="n">
        <v>46224</v>
      </c>
      <c r="B48" s="9" t="inlineStr">
        <is>
          <t>Bill</t>
        </is>
      </c>
      <c r="C48" s="9" t="inlineStr">
        <is>
          <t>Rawlins Resin</t>
        </is>
      </c>
      <c r="D48" s="9" t="inlineStr">
        <is>
          <t>BILL-5021</t>
        </is>
      </c>
      <c r="E48" s="10" t="n">
        <v>2484.03</v>
      </c>
      <c r="F48" s="8" t="n">
        <v>46254</v>
      </c>
      <c r="G48" s="9">
        <f>IF(I48="Settled","",MAX(0,TODAY()-F48))</f>
        <v/>
      </c>
      <c r="H48" s="9">
        <f>IF(E48="","",TEXT(E48,"0.00")&amp;"|"&amp;IF(B48="Invoice","AR","AP"))</f>
        <v/>
      </c>
      <c r="I48" s="9">
        <f>IF(H48="","",IF(COUNTIF(Bank!$F:$F,H48)&gt;0,"Settled","Open"))</f>
        <v/>
      </c>
      <c r="J48" s="9">
        <f>IF(I48&lt;&gt;"Open","",IF(G48&lt;=0,"Current",IF(G48&lt;=30,"1-30",IF(G48&lt;=60,"31-60",IF(G48&lt;=90,"61-90","90+")))))</f>
        <v/>
      </c>
    </row>
    <row r="49">
      <c r="A49" s="8" t="n">
        <v>46225</v>
      </c>
      <c r="B49" s="9" t="inlineStr">
        <is>
          <t>Invoice</t>
        </is>
      </c>
      <c r="C49" s="9" t="inlineStr">
        <is>
          <t>Northgate Property Co</t>
        </is>
      </c>
      <c r="D49" s="9" t="inlineStr">
        <is>
          <t>INV-1025</t>
        </is>
      </c>
      <c r="E49" s="10" t="n">
        <v>8483.09</v>
      </c>
      <c r="F49" s="8" t="n">
        <v>46255</v>
      </c>
      <c r="G49" s="9">
        <f>IF(I49="Settled","",MAX(0,TODAY()-F49))</f>
        <v/>
      </c>
      <c r="H49" s="9">
        <f>IF(E49="","",TEXT(E49,"0.00")&amp;"|"&amp;IF(B49="Invoice","AR","AP"))</f>
        <v/>
      </c>
      <c r="I49" s="9">
        <f>IF(H49="","",IF(COUNTIF(Bank!$F:$F,H49)&gt;0,"Settled","Open"))</f>
        <v/>
      </c>
      <c r="J49" s="9">
        <f>IF(I49&lt;&gt;"Open","",IF(G49&lt;=0,"Current",IF(G49&lt;=30,"1-30",IF(G49&lt;=60,"31-60",IF(G49&lt;=90,"61-90","90+")))))</f>
        <v/>
      </c>
    </row>
    <row r="50">
      <c r="A50" s="8" t="n">
        <v>46226</v>
      </c>
      <c r="B50" s="9" t="inlineStr">
        <is>
          <t>Invoice</t>
        </is>
      </c>
      <c r="C50" s="9" t="inlineStr">
        <is>
          <t>Dockside Marine</t>
        </is>
      </c>
      <c r="D50" s="9" t="inlineStr">
        <is>
          <t>INV-1026</t>
        </is>
      </c>
      <c r="E50" s="10" t="n">
        <v>3117.56</v>
      </c>
      <c r="F50" s="8" t="n">
        <v>46256</v>
      </c>
      <c r="G50" s="9">
        <f>IF(I50="Settled","",MAX(0,TODAY()-F50))</f>
        <v/>
      </c>
      <c r="H50" s="9">
        <f>IF(E50="","",TEXT(E50,"0.00")&amp;"|"&amp;IF(B50="Invoice","AR","AP"))</f>
        <v/>
      </c>
      <c r="I50" s="9">
        <f>IF(H50="","",IF(COUNTIF(Bank!$F:$F,H50)&gt;0,"Settled","Open"))</f>
        <v/>
      </c>
      <c r="J50" s="9">
        <f>IF(I50&lt;&gt;"Open","",IF(G50&lt;=0,"Current",IF(G50&lt;=30,"1-30",IF(G50&lt;=60,"31-60",IF(G50&lt;=90,"61-90","90+")))))</f>
        <v/>
      </c>
    </row>
    <row r="51">
      <c r="A51" s="8" t="n">
        <v>46226</v>
      </c>
      <c r="B51" s="9" t="inlineStr">
        <is>
          <t>Bill</t>
        </is>
      </c>
      <c r="C51" s="9" t="inlineStr">
        <is>
          <t>Transtate Freight</t>
        </is>
      </c>
      <c r="D51" s="9" t="inlineStr">
        <is>
          <t>BILL-5020</t>
        </is>
      </c>
      <c r="E51" s="10" t="n">
        <v>2174.45</v>
      </c>
      <c r="F51" s="8" t="n">
        <v>46233</v>
      </c>
      <c r="G51" s="9">
        <f>IF(I51="Settled","",MAX(0,TODAY()-F51))</f>
        <v/>
      </c>
      <c r="H51" s="9">
        <f>IF(E51="","",TEXT(E51,"0.00")&amp;"|"&amp;IF(B51="Invoice","AR","AP"))</f>
        <v/>
      </c>
      <c r="I51" s="9">
        <f>IF(H51="","",IF(COUNTIF(Bank!$F:$F,H51)&gt;0,"Settled","Open"))</f>
        <v/>
      </c>
      <c r="J51" s="9">
        <f>IF(I51&lt;&gt;"Open","",IF(G51&lt;=0,"Current",IF(G51&lt;=30,"1-30",IF(G51&lt;=60,"31-60",IF(G51&lt;=90,"61-90","90+")))))</f>
        <v/>
      </c>
    </row>
    <row r="52">
      <c r="A52" s="8" t="n">
        <v>46231</v>
      </c>
      <c r="B52" s="9" t="inlineStr">
        <is>
          <t>Invoice</t>
        </is>
      </c>
      <c r="C52" s="9" t="inlineStr">
        <is>
          <t>Northgate Property Co</t>
        </is>
      </c>
      <c r="D52" s="9" t="inlineStr">
        <is>
          <t>INV-1027</t>
        </is>
      </c>
      <c r="E52" s="10" t="n">
        <v>3635.64</v>
      </c>
      <c r="F52" s="8" t="n">
        <v>46252</v>
      </c>
      <c r="G52" s="9">
        <f>IF(I52="Settled","",MAX(0,TODAY()-F52))</f>
        <v/>
      </c>
      <c r="H52" s="9">
        <f>IF(E52="","",TEXT(E52,"0.00")&amp;"|"&amp;IF(B52="Invoice","AR","AP"))</f>
        <v/>
      </c>
      <c r="I52" s="9">
        <f>IF(H52="","",IF(COUNTIF(Bank!$F:$F,H52)&gt;0,"Settled","Open"))</f>
        <v/>
      </c>
      <c r="J52" s="9">
        <f>IF(I52&lt;&gt;"Open","",IF(G52&lt;=0,"Current",IF(G52&lt;=30,"1-30",IF(G52&lt;=60,"31-60",IF(G52&lt;=90,"61-90","90+")))))</f>
        <v/>
      </c>
    </row>
    <row r="53">
      <c r="A53" s="8" t="n">
        <v>46231</v>
      </c>
      <c r="B53" s="9" t="inlineStr">
        <is>
          <t>Invoice</t>
        </is>
      </c>
      <c r="C53" s="9" t="inlineStr">
        <is>
          <t>Ellerslie Fitout</t>
        </is>
      </c>
      <c r="D53" s="9" t="inlineStr">
        <is>
          <t>INV-1030</t>
        </is>
      </c>
      <c r="E53" s="10" t="n">
        <v>5391.69</v>
      </c>
      <c r="F53" s="8" t="n">
        <v>46245</v>
      </c>
      <c r="G53" s="9">
        <f>IF(I53="Settled","",MAX(0,TODAY()-F53))</f>
        <v/>
      </c>
      <c r="H53" s="9">
        <f>IF(E53="","",TEXT(E53,"0.00")&amp;"|"&amp;IF(B53="Invoice","AR","AP"))</f>
        <v/>
      </c>
      <c r="I53" s="9">
        <f>IF(H53="","",IF(COUNTIF(Bank!$F:$F,H53)&gt;0,"Settled","Open"))</f>
        <v/>
      </c>
      <c r="J53" s="9">
        <f>IF(I53&lt;&gt;"Open","",IF(G53&lt;=0,"Current",IF(G53&lt;=30,"1-30",IF(G53&lt;=60,"31-60",IF(G53&lt;=90,"61-90","90+")))))</f>
        <v/>
      </c>
    </row>
    <row r="54">
      <c r="A54" s="8" t="n">
        <v>46232</v>
      </c>
      <c r="B54" s="9" t="inlineStr">
        <is>
          <t>Invoice</t>
        </is>
      </c>
      <c r="C54" s="9" t="inlineStr">
        <is>
          <t>Quay Street Developments</t>
        </is>
      </c>
      <c r="D54" s="9" t="inlineStr">
        <is>
          <t>INV-1028</t>
        </is>
      </c>
      <c r="E54" s="10" t="n">
        <v>2191.92</v>
      </c>
      <c r="F54" s="8" t="n">
        <v>46246</v>
      </c>
      <c r="G54" s="9">
        <f>IF(I54="Settled","",MAX(0,TODAY()-F54))</f>
        <v/>
      </c>
      <c r="H54" s="9">
        <f>IF(E54="","",TEXT(E54,"0.00")&amp;"|"&amp;IF(B54="Invoice","AR","AP"))</f>
        <v/>
      </c>
      <c r="I54" s="9">
        <f>IF(H54="","",IF(COUNTIF(Bank!$F:$F,H54)&gt;0,"Settled","Open"))</f>
        <v/>
      </c>
      <c r="J54" s="9">
        <f>IF(I54&lt;&gt;"Open","",IF(G54&lt;=0,"Current",IF(G54&lt;=30,"1-30",IF(G54&lt;=60,"31-60",IF(G54&lt;=90,"61-90","90+")))))</f>
        <v/>
      </c>
    </row>
    <row r="55">
      <c r="A55" s="8" t="n">
        <v>46232</v>
      </c>
      <c r="B55" s="9" t="inlineStr">
        <is>
          <t>Invoice</t>
        </is>
      </c>
      <c r="C55" s="9" t="inlineStr">
        <is>
          <t>Harding Construction</t>
        </is>
      </c>
      <c r="D55" s="9" t="inlineStr">
        <is>
          <t>INV-1029</t>
        </is>
      </c>
      <c r="E55" s="10" t="n">
        <v>1298.29</v>
      </c>
      <c r="F55" s="8" t="n">
        <v>46262</v>
      </c>
      <c r="G55" s="9">
        <f>IF(I55="Settled","",MAX(0,TODAY()-F55))</f>
        <v/>
      </c>
      <c r="H55" s="9">
        <f>IF(E55="","",TEXT(E55,"0.00")&amp;"|"&amp;IF(B55="Invoice","AR","AP"))</f>
        <v/>
      </c>
      <c r="I55" s="9">
        <f>IF(H55="","",IF(COUNTIF(Bank!$F:$F,H55)&gt;0,"Settled","Open"))</f>
        <v/>
      </c>
      <c r="J55" s="9">
        <f>IF(I55&lt;&gt;"Open","",IF(G55&lt;=0,"Current",IF(G55&lt;=30,"1-30",IF(G55&lt;=60,"31-60",IF(G55&lt;=90,"61-90","90+")))))</f>
        <v/>
      </c>
    </row>
    <row r="56">
      <c r="A56" s="8" t="n">
        <v>46232</v>
      </c>
      <c r="B56" s="9" t="inlineStr">
        <is>
          <t>Bill</t>
        </is>
      </c>
      <c r="C56" s="9" t="inlineStr">
        <is>
          <t>Transtate Freight</t>
        </is>
      </c>
      <c r="D56" s="9" t="inlineStr">
        <is>
          <t>BILL-5022</t>
        </is>
      </c>
      <c r="E56" s="10" t="n">
        <v>2614.18</v>
      </c>
      <c r="F56" s="8" t="n">
        <v>46246</v>
      </c>
      <c r="G56" s="9">
        <f>IF(I56="Settled","",MAX(0,TODAY()-F56))</f>
        <v/>
      </c>
      <c r="H56" s="9">
        <f>IF(E56="","",TEXT(E56,"0.00")&amp;"|"&amp;IF(B56="Invoice","AR","AP"))</f>
        <v/>
      </c>
      <c r="I56" s="9">
        <f>IF(H56="","",IF(COUNTIF(Bank!$F:$F,H56)&gt;0,"Settled","Open"))</f>
        <v/>
      </c>
      <c r="J56" s="9">
        <f>IF(I56&lt;&gt;"Open","",IF(G56&lt;=0,"Current",IF(G56&lt;=30,"1-30",IF(G56&lt;=60,"31-60",IF(G56&lt;=90,"61-90","90+")))))</f>
        <v/>
      </c>
    </row>
    <row r="57">
      <c r="A57" s="8" t="n">
        <v>46233</v>
      </c>
      <c r="B57" s="9" t="inlineStr">
        <is>
          <t>Bill</t>
        </is>
      </c>
      <c r="C57" s="9" t="inlineStr">
        <is>
          <t>Solvent Direct</t>
        </is>
      </c>
      <c r="D57" s="9" t="inlineStr">
        <is>
          <t>BILL-5023</t>
        </is>
      </c>
      <c r="E57" s="10" t="n">
        <v>2525.6</v>
      </c>
      <c r="F57" s="8" t="n">
        <v>46263</v>
      </c>
      <c r="G57" s="9">
        <f>IF(I57="Settled","",MAX(0,TODAY()-F57))</f>
        <v/>
      </c>
      <c r="H57" s="9">
        <f>IF(E57="","",TEXT(E57,"0.00")&amp;"|"&amp;IF(B57="Invoice","AR","AP"))</f>
        <v/>
      </c>
      <c r="I57" s="9">
        <f>IF(H57="","",IF(COUNTIF(Bank!$F:$F,H57)&gt;0,"Settled","Open"))</f>
        <v/>
      </c>
      <c r="J57" s="9">
        <f>IF(I57&lt;&gt;"Open","",IF(G57&lt;=0,"Current",IF(G57&lt;=30,"1-30",IF(G57&lt;=60,"31-60",IF(G57&lt;=90,"61-90","90+")))))</f>
        <v/>
      </c>
    </row>
    <row r="58">
      <c r="A58" s="8" t="n">
        <v>46233</v>
      </c>
      <c r="B58" s="9" t="inlineStr">
        <is>
          <t>Bill</t>
        </is>
      </c>
      <c r="C58" s="9" t="inlineStr">
        <is>
          <t>Solvent Direct</t>
        </is>
      </c>
      <c r="D58" s="9" t="inlineStr">
        <is>
          <t>BILL-5024</t>
        </is>
      </c>
      <c r="E58" s="10" t="n">
        <v>2376.83</v>
      </c>
      <c r="F58" s="8" t="n">
        <v>46263</v>
      </c>
      <c r="G58" s="9">
        <f>IF(I58="Settled","",MAX(0,TODAY()-F58))</f>
        <v/>
      </c>
      <c r="H58" s="9">
        <f>IF(E58="","",TEXT(E58,"0.00")&amp;"|"&amp;IF(B58="Invoice","AR","AP"))</f>
        <v/>
      </c>
      <c r="I58" s="9">
        <f>IF(H58="","",IF(COUNTIF(Bank!$F:$F,H58)&gt;0,"Settled","Open"))</f>
        <v/>
      </c>
      <c r="J58" s="9">
        <f>IF(I58&lt;&gt;"Open","",IF(G58&lt;=0,"Current",IF(G58&lt;=30,"1-30",IF(G58&lt;=60,"31-60",IF(G58&lt;=90,"61-90","90+")))))</f>
        <v/>
      </c>
    </row>
    <row r="59">
      <c r="A59" s="8" t="n">
        <v>46237</v>
      </c>
      <c r="B59" s="9" t="inlineStr">
        <is>
          <t>Invoice</t>
        </is>
      </c>
      <c r="C59" s="9" t="inlineStr">
        <is>
          <t>Dockside Marine</t>
        </is>
      </c>
      <c r="D59" s="9" t="inlineStr">
        <is>
          <t>INV-1034</t>
        </is>
      </c>
      <c r="E59" s="10" t="n">
        <v>2481.53</v>
      </c>
      <c r="F59" s="8" t="n">
        <v>46258</v>
      </c>
      <c r="G59" s="9">
        <f>IF(I59="Settled","",MAX(0,TODAY()-F59))</f>
        <v/>
      </c>
      <c r="H59" s="9">
        <f>IF(E59="","",TEXT(E59,"0.00")&amp;"|"&amp;IF(B59="Invoice","AR","AP"))</f>
        <v/>
      </c>
      <c r="I59" s="9">
        <f>IF(H59="","",IF(COUNTIF(Bank!$F:$F,H59)&gt;0,"Settled","Open"))</f>
        <v/>
      </c>
      <c r="J59" s="9">
        <f>IF(I59&lt;&gt;"Open","",IF(G59&lt;=0,"Current",IF(G59&lt;=30,"1-30",IF(G59&lt;=60,"31-60",IF(G59&lt;=90,"61-90","90+")))))</f>
        <v/>
      </c>
    </row>
    <row r="60">
      <c r="A60" s="8" t="n">
        <v>46238</v>
      </c>
      <c r="B60" s="9" t="inlineStr">
        <is>
          <t>Invoice</t>
        </is>
      </c>
      <c r="C60" s="9" t="inlineStr">
        <is>
          <t>Northgate Property Co</t>
        </is>
      </c>
      <c r="D60" s="9" t="inlineStr">
        <is>
          <t>INV-1032</t>
        </is>
      </c>
      <c r="E60" s="10" t="n">
        <v>8044.35</v>
      </c>
      <c r="F60" s="8" t="n">
        <v>46259</v>
      </c>
      <c r="G60" s="9">
        <f>IF(I60="Settled","",MAX(0,TODAY()-F60))</f>
        <v/>
      </c>
      <c r="H60" s="9">
        <f>IF(E60="","",TEXT(E60,"0.00")&amp;"|"&amp;IF(B60="Invoice","AR","AP"))</f>
        <v/>
      </c>
      <c r="I60" s="9">
        <f>IF(H60="","",IF(COUNTIF(Bank!$F:$F,H60)&gt;0,"Settled","Open"))</f>
        <v/>
      </c>
      <c r="J60" s="9">
        <f>IF(I60&lt;&gt;"Open","",IF(G60&lt;=0,"Current",IF(G60&lt;=30,"1-30",IF(G60&lt;=60,"31-60",IF(G60&lt;=90,"61-90","90+")))))</f>
        <v/>
      </c>
    </row>
    <row r="61">
      <c r="A61" s="8" t="n">
        <v>46238</v>
      </c>
      <c r="B61" s="9" t="inlineStr">
        <is>
          <t>Bill</t>
        </is>
      </c>
      <c r="C61" s="9" t="inlineStr">
        <is>
          <t>Drum &amp; Can Packaging</t>
        </is>
      </c>
      <c r="D61" s="9" t="inlineStr">
        <is>
          <t>BILL-5025</t>
        </is>
      </c>
      <c r="E61" s="10" t="n">
        <v>2233.63</v>
      </c>
      <c r="F61" s="8" t="n">
        <v>46252</v>
      </c>
      <c r="G61" s="9">
        <f>IF(I61="Settled","",MAX(0,TODAY()-F61))</f>
        <v/>
      </c>
      <c r="H61" s="9">
        <f>IF(E61="","",TEXT(E61,"0.00")&amp;"|"&amp;IF(B61="Invoice","AR","AP"))</f>
        <v/>
      </c>
      <c r="I61" s="9">
        <f>IF(H61="","",IF(COUNTIF(Bank!$F:$F,H61)&gt;0,"Settled","Open"))</f>
        <v/>
      </c>
      <c r="J61" s="9">
        <f>IF(I61&lt;&gt;"Open","",IF(G61&lt;=0,"Current",IF(G61&lt;=30,"1-30",IF(G61&lt;=60,"31-60",IF(G61&lt;=90,"61-90","90+")))))</f>
        <v/>
      </c>
    </row>
    <row r="62">
      <c r="A62" s="8" t="n">
        <v>46238</v>
      </c>
      <c r="B62" s="9" t="inlineStr">
        <is>
          <t>Bill</t>
        </is>
      </c>
      <c r="C62" s="9" t="inlineStr">
        <is>
          <t>Pigment Supply Co</t>
        </is>
      </c>
      <c r="D62" s="9" t="inlineStr">
        <is>
          <t>BILL-5027</t>
        </is>
      </c>
      <c r="E62" s="10" t="n">
        <v>1098.09</v>
      </c>
      <c r="F62" s="8" t="n">
        <v>46268</v>
      </c>
      <c r="G62" s="9">
        <f>IF(I62="Settled","",MAX(0,TODAY()-F62))</f>
        <v/>
      </c>
      <c r="H62" s="9">
        <f>IF(E62="","",TEXT(E62,"0.00")&amp;"|"&amp;IF(B62="Invoice","AR","AP"))</f>
        <v/>
      </c>
      <c r="I62" s="9">
        <f>IF(H62="","",IF(COUNTIF(Bank!$F:$F,H62)&gt;0,"Settled","Open"))</f>
        <v/>
      </c>
      <c r="J62" s="9">
        <f>IF(I62&lt;&gt;"Open","",IF(G62&lt;=0,"Current",IF(G62&lt;=30,"1-30",IF(G62&lt;=60,"31-60",IF(G62&lt;=90,"61-90","90+")))))</f>
        <v/>
      </c>
    </row>
    <row r="63">
      <c r="A63" s="8" t="n">
        <v>46239</v>
      </c>
      <c r="B63" s="9" t="inlineStr">
        <is>
          <t>Invoice</t>
        </is>
      </c>
      <c r="C63" s="9" t="inlineStr">
        <is>
          <t>Crestwood Builders</t>
        </is>
      </c>
      <c r="D63" s="9" t="inlineStr">
        <is>
          <t>INV-1031</t>
        </is>
      </c>
      <c r="E63" s="10" t="n">
        <v>4203.4</v>
      </c>
      <c r="F63" s="8" t="n">
        <v>46269</v>
      </c>
      <c r="G63" s="9">
        <f>IF(I63="Settled","",MAX(0,TODAY()-F63))</f>
        <v/>
      </c>
      <c r="H63" s="9">
        <f>IF(E63="","",TEXT(E63,"0.00")&amp;"|"&amp;IF(B63="Invoice","AR","AP"))</f>
        <v/>
      </c>
      <c r="I63" s="9">
        <f>IF(H63="","",IF(COUNTIF(Bank!$F:$F,H63)&gt;0,"Settled","Open"))</f>
        <v/>
      </c>
      <c r="J63" s="9">
        <f>IF(I63&lt;&gt;"Open","",IF(G63&lt;=0,"Current",IF(G63&lt;=30,"1-30",IF(G63&lt;=60,"31-60",IF(G63&lt;=90,"61-90","90+")))))</f>
        <v/>
      </c>
    </row>
    <row r="64">
      <c r="A64" s="8" t="n">
        <v>46239</v>
      </c>
      <c r="B64" s="9" t="inlineStr">
        <is>
          <t>Invoice</t>
        </is>
      </c>
      <c r="C64" s="9" t="inlineStr">
        <is>
          <t>Vale &amp; Sons Painting</t>
        </is>
      </c>
      <c r="D64" s="9" t="inlineStr">
        <is>
          <t>INV-1033</t>
        </is>
      </c>
      <c r="E64" s="10" t="n">
        <v>1106.7</v>
      </c>
      <c r="F64" s="8" t="n">
        <v>46253</v>
      </c>
      <c r="G64" s="9">
        <f>IF(I64="Settled","",MAX(0,TODAY()-F64))</f>
        <v/>
      </c>
      <c r="H64" s="9">
        <f>IF(E64="","",TEXT(E64,"0.00")&amp;"|"&amp;IF(B64="Invoice","AR","AP"))</f>
        <v/>
      </c>
      <c r="I64" s="9">
        <f>IF(H64="","",IF(COUNTIF(Bank!$F:$F,H64)&gt;0,"Settled","Open"))</f>
        <v/>
      </c>
      <c r="J64" s="9">
        <f>IF(I64&lt;&gt;"Open","",IF(G64&lt;=0,"Current",IF(G64&lt;=30,"1-30",IF(G64&lt;=60,"31-60",IF(G64&lt;=90,"61-90","90+")))))</f>
        <v/>
      </c>
    </row>
    <row r="65">
      <c r="A65" s="8" t="n">
        <v>46241</v>
      </c>
      <c r="B65" s="9" t="inlineStr">
        <is>
          <t>Bill</t>
        </is>
      </c>
      <c r="C65" s="9" t="inlineStr">
        <is>
          <t>Rawlins Resin</t>
        </is>
      </c>
      <c r="D65" s="9" t="inlineStr">
        <is>
          <t>BILL-5026</t>
        </is>
      </c>
      <c r="E65" s="10" t="n">
        <v>4209.43</v>
      </c>
      <c r="F65" s="8" t="n">
        <v>46255</v>
      </c>
      <c r="G65" s="9">
        <f>IF(I65="Settled","",MAX(0,TODAY()-F65))</f>
        <v/>
      </c>
      <c r="H65" s="9">
        <f>IF(E65="","",TEXT(E65,"0.00")&amp;"|"&amp;IF(B65="Invoice","AR","AP"))</f>
        <v/>
      </c>
      <c r="I65" s="9">
        <f>IF(H65="","",IF(COUNTIF(Bank!$F:$F,H65)&gt;0,"Settled","Open"))</f>
        <v/>
      </c>
      <c r="J65" s="9">
        <f>IF(I65&lt;&gt;"Open","",IF(G65&lt;=0,"Current",IF(G65&lt;=30,"1-30",IF(G65&lt;=60,"31-60",IF(G65&lt;=90,"61-90","90+")))))</f>
        <v/>
      </c>
    </row>
    <row r="66">
      <c r="A66" s="8" t="n">
        <v>46244</v>
      </c>
      <c r="B66" s="9" t="inlineStr">
        <is>
          <t>Invoice</t>
        </is>
      </c>
      <c r="C66" s="9" t="inlineStr">
        <is>
          <t>Dockside Marine</t>
        </is>
      </c>
      <c r="D66" s="9" t="inlineStr">
        <is>
          <t>INV-1035</t>
        </is>
      </c>
      <c r="E66" s="10" t="n">
        <v>3314.7</v>
      </c>
      <c r="F66" s="8" t="n">
        <v>46258</v>
      </c>
      <c r="G66" s="9">
        <f>IF(I66="Settled","",MAX(0,TODAY()-F66))</f>
        <v/>
      </c>
      <c r="H66" s="9">
        <f>IF(E66="","",TEXT(E66,"0.00")&amp;"|"&amp;IF(B66="Invoice","AR","AP"))</f>
        <v/>
      </c>
      <c r="I66" s="9">
        <f>IF(H66="","",IF(COUNTIF(Bank!$F:$F,H66)&gt;0,"Settled","Open"))</f>
        <v/>
      </c>
      <c r="J66" s="9">
        <f>IF(I66&lt;&gt;"Open","",IF(G66&lt;=0,"Current",IF(G66&lt;=30,"1-30",IF(G66&lt;=60,"31-60",IF(G66&lt;=90,"61-90","90+")))))</f>
        <v/>
      </c>
    </row>
    <row r="67">
      <c r="A67" s="8" t="n">
        <v>46244</v>
      </c>
      <c r="B67" s="9" t="inlineStr">
        <is>
          <t>Invoice</t>
        </is>
      </c>
      <c r="C67" s="9" t="inlineStr">
        <is>
          <t>Bayline Interiors</t>
        </is>
      </c>
      <c r="D67" s="9" t="inlineStr">
        <is>
          <t>INV-1036</t>
        </is>
      </c>
      <c r="E67" s="10" t="n">
        <v>4674.86</v>
      </c>
      <c r="F67" s="8" t="n">
        <v>46274</v>
      </c>
      <c r="G67" s="9">
        <f>IF(I67="Settled","",MAX(0,TODAY()-F67))</f>
        <v/>
      </c>
      <c r="H67" s="9">
        <f>IF(E67="","",TEXT(E67,"0.00")&amp;"|"&amp;IF(B67="Invoice","AR","AP"))</f>
        <v/>
      </c>
      <c r="I67" s="9">
        <f>IF(H67="","",IF(COUNTIF(Bank!$F:$F,H67)&gt;0,"Settled","Open"))</f>
        <v/>
      </c>
      <c r="J67" s="9">
        <f>IF(I67&lt;&gt;"Open","",IF(G67&lt;=0,"Current",IF(G67&lt;=30,"1-30",IF(G67&lt;=60,"31-60",IF(G67&lt;=90,"61-90","90+")))))</f>
        <v/>
      </c>
    </row>
    <row r="68">
      <c r="A68" s="8" t="n">
        <v>46244</v>
      </c>
      <c r="B68" s="9" t="inlineStr">
        <is>
          <t>Bill</t>
        </is>
      </c>
      <c r="C68" s="9" t="inlineStr">
        <is>
          <t>Pigment Supply Co</t>
        </is>
      </c>
      <c r="D68" s="9" t="inlineStr">
        <is>
          <t>BILL-5028</t>
        </is>
      </c>
      <c r="E68" s="10" t="n">
        <v>3351.07</v>
      </c>
      <c r="F68" s="8" t="n">
        <v>46258</v>
      </c>
      <c r="G68" s="9">
        <f>IF(I68="Settled","",MAX(0,TODAY()-F68))</f>
        <v/>
      </c>
      <c r="H68" s="9">
        <f>IF(E68="","",TEXT(E68,"0.00")&amp;"|"&amp;IF(B68="Invoice","AR","AP"))</f>
        <v/>
      </c>
      <c r="I68" s="9">
        <f>IF(H68="","",IF(COUNTIF(Bank!$F:$F,H68)&gt;0,"Settled","Open"))</f>
        <v/>
      </c>
      <c r="J68" s="9">
        <f>IF(I68&lt;&gt;"Open","",IF(G68&lt;=0,"Current",IF(G68&lt;=30,"1-30",IF(G68&lt;=60,"31-60",IF(G68&lt;=90,"61-90","90+")))))</f>
        <v/>
      </c>
    </row>
    <row r="69">
      <c r="A69" s="8" t="n">
        <v>46245</v>
      </c>
      <c r="B69" s="9" t="inlineStr">
        <is>
          <t>Bill</t>
        </is>
      </c>
      <c r="C69" s="9" t="inlineStr">
        <is>
          <t>Solvent Direct</t>
        </is>
      </c>
      <c r="D69" s="9" t="inlineStr">
        <is>
          <t>BILL-5029</t>
        </is>
      </c>
      <c r="E69" s="10" t="n">
        <v>1405.89</v>
      </c>
      <c r="F69" s="8" t="n">
        <v>46275</v>
      </c>
      <c r="G69" s="9">
        <f>IF(I69="Settled","",MAX(0,TODAY()-F69))</f>
        <v/>
      </c>
      <c r="H69" s="9">
        <f>IF(E69="","",TEXT(E69,"0.00")&amp;"|"&amp;IF(B69="Invoice","AR","AP"))</f>
        <v/>
      </c>
      <c r="I69" s="9">
        <f>IF(H69="","",IF(COUNTIF(Bank!$F:$F,H69)&gt;0,"Settled","Open"))</f>
        <v/>
      </c>
      <c r="J69" s="9">
        <f>IF(I69&lt;&gt;"Open","",IF(G69&lt;=0,"Current",IF(G69&lt;=30,"1-30",IF(G69&lt;=60,"31-60",IF(G69&lt;=90,"61-90","90+")))))</f>
        <v/>
      </c>
    </row>
    <row r="70">
      <c r="A70" s="8" t="n">
        <v>46252</v>
      </c>
      <c r="B70" s="9" t="inlineStr">
        <is>
          <t>Bill</t>
        </is>
      </c>
      <c r="C70" s="9" t="inlineStr">
        <is>
          <t>Drum &amp; Can Packaging</t>
        </is>
      </c>
      <c r="D70" s="9" t="inlineStr">
        <is>
          <t>BILL-5030</t>
        </is>
      </c>
      <c r="E70" s="10" t="n">
        <v>4547.12</v>
      </c>
      <c r="F70" s="8" t="n">
        <v>46266</v>
      </c>
      <c r="G70" s="9">
        <f>IF(I70="Settled","",MAX(0,TODAY()-F70))</f>
        <v/>
      </c>
      <c r="H70" s="9">
        <f>IF(E70="","",TEXT(E70,"0.00")&amp;"|"&amp;IF(B70="Invoice","AR","AP"))</f>
        <v/>
      </c>
      <c r="I70" s="9">
        <f>IF(H70="","",IF(COUNTIF(Bank!$F:$F,H70)&gt;0,"Settled","Open"))</f>
        <v/>
      </c>
      <c r="J70" s="9">
        <f>IF(I70&lt;&gt;"Open","",IF(G70&lt;=0,"Current",IF(G70&lt;=30,"1-30",IF(G70&lt;=60,"31-60",IF(G70&lt;=90,"61-90","90+")))))</f>
        <v/>
      </c>
    </row>
    <row r="71">
      <c r="A71" s="8" t="n">
        <v>46253</v>
      </c>
      <c r="B71" s="9" t="inlineStr">
        <is>
          <t>Invoice</t>
        </is>
      </c>
      <c r="C71" s="9" t="inlineStr">
        <is>
          <t>Bayline Interiors</t>
        </is>
      </c>
      <c r="D71" s="9" t="inlineStr">
        <is>
          <t>INV-1038</t>
        </is>
      </c>
      <c r="E71" s="10" t="n">
        <v>5777.39</v>
      </c>
      <c r="F71" s="8" t="n">
        <v>46283</v>
      </c>
      <c r="G71" s="9">
        <f>IF(I71="Settled","",MAX(0,TODAY()-F71))</f>
        <v/>
      </c>
      <c r="H71" s="9">
        <f>IF(E71="","",TEXT(E71,"0.00")&amp;"|"&amp;IF(B71="Invoice","AR","AP"))</f>
        <v/>
      </c>
      <c r="I71" s="9">
        <f>IF(H71="","",IF(COUNTIF(Bank!$F:$F,H71)&gt;0,"Settled","Open"))</f>
        <v/>
      </c>
      <c r="J71" s="9">
        <f>IF(I71&lt;&gt;"Open","",IF(G71&lt;=0,"Current",IF(G71&lt;=30,"1-30",IF(G71&lt;=60,"31-60",IF(G71&lt;=90,"61-90","90+")))))</f>
        <v/>
      </c>
    </row>
    <row r="72">
      <c r="A72" s="8" t="n">
        <v>46253</v>
      </c>
      <c r="B72" s="9" t="inlineStr">
        <is>
          <t>Invoice</t>
        </is>
      </c>
      <c r="C72" s="9" t="inlineStr">
        <is>
          <t>Harding Construction</t>
        </is>
      </c>
      <c r="D72" s="9" t="inlineStr">
        <is>
          <t>INV-1039</t>
        </is>
      </c>
      <c r="E72" s="10" t="n">
        <v>844.58</v>
      </c>
      <c r="F72" s="8" t="n">
        <v>46267</v>
      </c>
      <c r="G72" s="9">
        <f>IF(I72="Settled","",MAX(0,TODAY()-F72))</f>
        <v/>
      </c>
      <c r="H72" s="9">
        <f>IF(E72="","",TEXT(E72,"0.00")&amp;"|"&amp;IF(B72="Invoice","AR","AP"))</f>
        <v/>
      </c>
      <c r="I72" s="9">
        <f>IF(H72="","",IF(COUNTIF(Bank!$F:$F,H72)&gt;0,"Settled","Open"))</f>
        <v/>
      </c>
      <c r="J72" s="9">
        <f>IF(I72&lt;&gt;"Open","",IF(G72&lt;=0,"Current",IF(G72&lt;=30,"1-30",IF(G72&lt;=60,"31-60",IF(G72&lt;=90,"61-90","90+")))))</f>
        <v/>
      </c>
    </row>
    <row r="73">
      <c r="A73" s="8" t="n">
        <v>46253</v>
      </c>
      <c r="B73" s="9" t="inlineStr">
        <is>
          <t>Bill</t>
        </is>
      </c>
      <c r="C73" s="9" t="inlineStr">
        <is>
          <t>OfficeWorks Trade</t>
        </is>
      </c>
      <c r="D73" s="9" t="inlineStr">
        <is>
          <t>BILL-5032</t>
        </is>
      </c>
      <c r="E73" s="10" t="n">
        <v>3314.97</v>
      </c>
      <c r="F73" s="8" t="n">
        <v>46267</v>
      </c>
      <c r="G73" s="9">
        <f>IF(I73="Settled","",MAX(0,TODAY()-F73))</f>
        <v/>
      </c>
      <c r="H73" s="9">
        <f>IF(E73="","",TEXT(E73,"0.00")&amp;"|"&amp;IF(B73="Invoice","AR","AP"))</f>
        <v/>
      </c>
      <c r="I73" s="9">
        <f>IF(H73="","",IF(COUNTIF(Bank!$F:$F,H73)&gt;0,"Settled","Open"))</f>
        <v/>
      </c>
      <c r="J73" s="9">
        <f>IF(I73&lt;&gt;"Open","",IF(G73&lt;=0,"Current",IF(G73&lt;=30,"1-30",IF(G73&lt;=60,"31-60",IF(G73&lt;=90,"61-90","90+")))))</f>
        <v/>
      </c>
    </row>
    <row r="74">
      <c r="A74" s="8" t="n">
        <v>46254</v>
      </c>
      <c r="B74" s="9" t="inlineStr">
        <is>
          <t>Invoice</t>
        </is>
      </c>
      <c r="C74" s="9" t="inlineStr">
        <is>
          <t>Ellerslie Fitout</t>
        </is>
      </c>
      <c r="D74" s="9" t="inlineStr">
        <is>
          <t>INV-1037</t>
        </is>
      </c>
      <c r="E74" s="10" t="n">
        <v>3078.53</v>
      </c>
      <c r="F74" s="8" t="n">
        <v>46284</v>
      </c>
      <c r="G74" s="9">
        <f>IF(I74="Settled","",MAX(0,TODAY()-F74))</f>
        <v/>
      </c>
      <c r="H74" s="9">
        <f>IF(E74="","",TEXT(E74,"0.00")&amp;"|"&amp;IF(B74="Invoice","AR","AP"))</f>
        <v/>
      </c>
      <c r="I74" s="9">
        <f>IF(H74="","",IF(COUNTIF(Bank!$F:$F,H74)&gt;0,"Settled","Open"))</f>
        <v/>
      </c>
      <c r="J74" s="9">
        <f>IF(I74&lt;&gt;"Open","",IF(G74&lt;=0,"Current",IF(G74&lt;=30,"1-30",IF(G74&lt;=60,"31-60",IF(G74&lt;=90,"61-90","90+")))))</f>
        <v/>
      </c>
    </row>
    <row r="75">
      <c r="A75" s="8" t="n">
        <v>46254</v>
      </c>
      <c r="B75" s="9" t="inlineStr">
        <is>
          <t>Bill</t>
        </is>
      </c>
      <c r="C75" s="9" t="inlineStr">
        <is>
          <t>Pigment Supply Co</t>
        </is>
      </c>
      <c r="D75" s="9" t="inlineStr">
        <is>
          <t>BILL-5031</t>
        </is>
      </c>
      <c r="E75" s="10" t="n">
        <v>1056.18</v>
      </c>
      <c r="F75" s="8" t="n">
        <v>46268</v>
      </c>
      <c r="G75" s="9">
        <f>IF(I75="Settled","",MAX(0,TODAY()-F75))</f>
        <v/>
      </c>
      <c r="H75" s="9">
        <f>IF(E75="","",TEXT(E75,"0.00")&amp;"|"&amp;IF(B75="Invoice","AR","AP"))</f>
        <v/>
      </c>
      <c r="I75" s="9">
        <f>IF(H75="","",IF(COUNTIF(Bank!$F:$F,H75)&gt;0,"Settled","Open"))</f>
        <v/>
      </c>
      <c r="J75" s="9">
        <f>IF(I75&lt;&gt;"Open","",IF(G75&lt;=0,"Current",IF(G75&lt;=30,"1-30",IF(G75&lt;=60,"31-60",IF(G75&lt;=90,"61-90","90+")))))</f>
        <v/>
      </c>
    </row>
    <row r="76">
      <c r="A76" s="8" t="n">
        <v>46255</v>
      </c>
      <c r="B76" s="9" t="inlineStr">
        <is>
          <t>Invoice</t>
        </is>
      </c>
      <c r="C76" s="9" t="inlineStr">
        <is>
          <t>Bayline Interiors</t>
        </is>
      </c>
      <c r="D76" s="9" t="inlineStr">
        <is>
          <t>INV-1040</t>
        </is>
      </c>
      <c r="E76" s="10" t="n">
        <v>9115.950000000001</v>
      </c>
      <c r="F76" s="8" t="n">
        <v>46276</v>
      </c>
      <c r="G76" s="9">
        <f>IF(I76="Settled","",MAX(0,TODAY()-F76))</f>
        <v/>
      </c>
      <c r="H76" s="9">
        <f>IF(E76="","",TEXT(E76,"0.00")&amp;"|"&amp;IF(B76="Invoice","AR","AP"))</f>
        <v/>
      </c>
      <c r="I76" s="9">
        <f>IF(H76="","",IF(COUNTIF(Bank!$F:$F,H76)&gt;0,"Settled","Open"))</f>
        <v/>
      </c>
      <c r="J76" s="9">
        <f>IF(I76&lt;&gt;"Open","",IF(G76&lt;=0,"Current",IF(G76&lt;=30,"1-30",IF(G76&lt;=60,"31-60",IF(G76&lt;=90,"61-90","90+")))))</f>
        <v/>
      </c>
    </row>
  </sheetData>
  <autoFilter ref="A4:J76"/>
  <conditionalFormatting sqref="G5:G76">
    <cfRule type="cellIs" priority="1" operator="greaterThan" dxfId="0">
      <formula>30</formula>
    </cfRule>
  </conditionalFormatting>
  <conditionalFormatting sqref="I5:I76">
    <cfRule type="expression" priority="2" dxfId="2">
      <formula>$I5="Settled"</formula>
    </cfRule>
  </conditionalFormatting>
  <dataValidations count="1">
    <dataValidation sqref="B5:B276" showDropDown="0" showInputMessage="0" showErrorMessage="0" allowBlank="1" error="Type must be Invoice (money owed to you) or Bill (money you owe)." type="list">
      <formula1>"Invoice,Bill"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showGridLines="0" workbookViewId="0">
      <selection activeCell="A1" sqref="A1"/>
    </sheetView>
  </sheetViews>
  <sheetFormatPr baseColWidth="8" defaultRowHeight="15"/>
  <cols>
    <col width="46" customWidth="1" min="1" max="1"/>
    <col width="10" customWidth="1" min="2" max="2"/>
    <col width="74" customWidth="1" min="3" max="3"/>
  </cols>
  <sheetData>
    <row r="1">
      <c r="A1" s="1" t="inlineStr">
        <is>
          <t>Exceptions - the only sheet that needs your attention</t>
        </is>
      </c>
    </row>
    <row r="2">
      <c r="A2" s="2" t="inlineStr">
        <is>
          <t>Checked from both directions. A bill entered twice and paid once is invisible if you only check the bank side.</t>
        </is>
      </c>
    </row>
    <row r="4" ht="26" customHeight="1">
      <c r="A4" s="7" t="inlineStr">
        <is>
          <t>Check</t>
        </is>
      </c>
      <c r="B4" s="7" t="inlineStr">
        <is>
          <t>Count</t>
        </is>
      </c>
      <c r="C4" s="7" t="inlineStr">
        <is>
          <t>What it means and what to do</t>
        </is>
      </c>
    </row>
    <row r="5" ht="42" customHeight="1">
      <c r="A5" s="11" t="inlineStr">
        <is>
          <t>Bank lines with no matching ledger entry</t>
        </is>
      </c>
      <c r="B5" s="12">
        <f>COUNTIF(Bank!$H:$H,"UNMATCHED*")</f>
        <v/>
      </c>
      <c r="C5" s="13" t="inlineStr">
        <is>
          <t>Money moved that the books do not explain. Usually a fee, a transfer between own accounts, or a bill nobody entered.</t>
        </is>
      </c>
    </row>
    <row r="6" ht="42" customHeight="1">
      <c r="A6" s="11" t="inlineStr">
        <is>
          <t>Bank lines needing review for ambiguity</t>
        </is>
      </c>
      <c r="B6" s="12">
        <f>COUNTIF(Bank!$H:$H,"REVIEW*")</f>
        <v/>
      </c>
      <c r="C6" s="13" t="inlineStr">
        <is>
          <t>Either the same amount appears twice on the statement - a possible double payment - or it matches several ledger entries. Matching on amount cannot tell these apart, so confirm by reference before ticking any of them off.</t>
        </is>
      </c>
    </row>
    <row r="7" ht="42" customHeight="1">
      <c r="A7" s="11" t="inlineStr">
        <is>
          <t>Ledger entries still open past their due date</t>
        </is>
      </c>
      <c r="B7" s="12">
        <f>COUNTIFS(Ledger!$I:$I,"Open",Ledger!$G:$G,"&gt;0")</f>
        <v/>
      </c>
      <c r="C7" s="13" t="inlineStr">
        <is>
          <t>Overdue both ways: invoices to chase and bills you are late paying.</t>
        </is>
      </c>
    </row>
    <row r="8" ht="42" customHeight="1">
      <c r="A8" s="11" t="inlineStr">
        <is>
          <t>Invoices unpaid more than 60 days</t>
        </is>
      </c>
      <c r="B8" s="12">
        <f>COUNTIFS(Ledger!$I:$I,"Open",Ledger!$B:$B,"Invoice",Ledger!$G:$G,"&gt;60")</f>
        <v/>
      </c>
      <c r="C8" s="13" t="inlineStr">
        <is>
          <t>The number that turns into a write-off if nobody looks at it.</t>
        </is>
      </c>
    </row>
    <row r="9" ht="42" customHeight="1">
      <c r="A9" s="11" t="inlineStr">
        <is>
          <t>Duplicate references in the ledger</t>
        </is>
      </c>
      <c r="B9" s="12">
        <f>SUMPRODUCT((Ledger!$D$5:$D$500&lt;&gt;"")*(COUNTIF(Ledger!$D$5:$D$500,Ledger!$D$5:$D$500)&gt;1))/2</f>
        <v/>
      </c>
      <c r="C9" s="13" t="inlineStr">
        <is>
          <t>The same invoice or bill entered twice. Halved because each duplicate pair is counted from both ends.</t>
        </is>
      </c>
    </row>
  </sheetData>
  <conditionalFormatting sqref="B5:B9">
    <cfRule type="cellIs" priority="1" operator="greaterThan" dxfId="3">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5" customWidth="1" min="7" max="7"/>
  </cols>
  <sheetData>
    <row r="1">
      <c r="A1" s="1" t="inlineStr">
        <is>
          <t>Receivables aging - who to chase, in what order</t>
        </is>
      </c>
    </row>
    <row r="2">
      <c r="A2" s="2" t="inlineStr">
        <is>
          <t>Buckets recalculate from TODAY(). Nothing here is typed.</t>
        </is>
      </c>
    </row>
    <row r="4" ht="26" customHeight="1">
      <c r="A4" s="7" t="inlineStr">
        <is>
          <t>Customer</t>
        </is>
      </c>
      <c r="B4" s="7" t="inlineStr">
        <is>
          <t>Current</t>
        </is>
      </c>
      <c r="C4" s="7" t="inlineStr">
        <is>
          <t>1-30 days</t>
        </is>
      </c>
      <c r="D4" s="7" t="inlineStr">
        <is>
          <t>31-60 days</t>
        </is>
      </c>
      <c r="E4" s="7" t="inlineStr">
        <is>
          <t>61-90 days</t>
        </is>
      </c>
      <c r="F4" s="7" t="inlineStr">
        <is>
          <t>90+ days</t>
        </is>
      </c>
      <c r="G4" s="7" t="inlineStr">
        <is>
          <t>Total open</t>
        </is>
      </c>
    </row>
    <row r="5">
      <c r="A5" s="9" t="inlineStr">
        <is>
          <t>Harding Construction</t>
        </is>
      </c>
      <c r="B5" s="14">
        <f>SUMIFS(Ledger!$E:$E,Ledger!$C:$C,$A5,Ledger!$B:$B,"Invoice",Ledger!$I:$I,"Open",Ledger!$J:$J,"Current")</f>
        <v/>
      </c>
      <c r="C5" s="14">
        <f>SUMIFS(Ledger!$E:$E,Ledger!$C:$C,$A5,Ledger!$B:$B,"Invoice",Ledger!$I:$I,"Open",Ledger!$J:$J,"1-30")</f>
        <v/>
      </c>
      <c r="D5" s="14">
        <f>SUMIFS(Ledger!$E:$E,Ledger!$C:$C,$A5,Ledger!$B:$B,"Invoice",Ledger!$I:$I,"Open",Ledger!$J:$J,"31-60")</f>
        <v/>
      </c>
      <c r="E5" s="14">
        <f>SUMIFS(Ledger!$E:$E,Ledger!$C:$C,$A5,Ledger!$B:$B,"Invoice",Ledger!$I:$I,"Open",Ledger!$J:$J,"61-90")</f>
        <v/>
      </c>
      <c r="F5" s="14">
        <f>SUMIFS(Ledger!$E:$E,Ledger!$C:$C,$A5,Ledger!$B:$B,"Invoice",Ledger!$I:$I,"Open",Ledger!$J:$J,"90+")</f>
        <v/>
      </c>
      <c r="G5" s="15">
        <f>SUM(B5:F5)</f>
        <v/>
      </c>
    </row>
    <row r="6">
      <c r="A6" s="9" t="inlineStr">
        <is>
          <t>Bayline Interiors</t>
        </is>
      </c>
      <c r="B6" s="14">
        <f>SUMIFS(Ledger!$E:$E,Ledger!$C:$C,$A6,Ledger!$B:$B,"Invoice",Ledger!$I:$I,"Open",Ledger!$J:$J,"Current")</f>
        <v/>
      </c>
      <c r="C6" s="14">
        <f>SUMIFS(Ledger!$E:$E,Ledger!$C:$C,$A6,Ledger!$B:$B,"Invoice",Ledger!$I:$I,"Open",Ledger!$J:$J,"1-30")</f>
        <v/>
      </c>
      <c r="D6" s="14">
        <f>SUMIFS(Ledger!$E:$E,Ledger!$C:$C,$A6,Ledger!$B:$B,"Invoice",Ledger!$I:$I,"Open",Ledger!$J:$J,"31-60")</f>
        <v/>
      </c>
      <c r="E6" s="14">
        <f>SUMIFS(Ledger!$E:$E,Ledger!$C:$C,$A6,Ledger!$B:$B,"Invoice",Ledger!$I:$I,"Open",Ledger!$J:$J,"61-90")</f>
        <v/>
      </c>
      <c r="F6" s="14">
        <f>SUMIFS(Ledger!$E:$E,Ledger!$C:$C,$A6,Ledger!$B:$B,"Invoice",Ledger!$I:$I,"Open",Ledger!$J:$J,"90+")</f>
        <v/>
      </c>
      <c r="G6" s="15">
        <f>SUM(B6:F6)</f>
        <v/>
      </c>
    </row>
    <row r="7">
      <c r="A7" s="9" t="inlineStr">
        <is>
          <t>Crestwood Builders</t>
        </is>
      </c>
      <c r="B7" s="14">
        <f>SUMIFS(Ledger!$E:$E,Ledger!$C:$C,$A7,Ledger!$B:$B,"Invoice",Ledger!$I:$I,"Open",Ledger!$J:$J,"Current")</f>
        <v/>
      </c>
      <c r="C7" s="14">
        <f>SUMIFS(Ledger!$E:$E,Ledger!$C:$C,$A7,Ledger!$B:$B,"Invoice",Ledger!$I:$I,"Open",Ledger!$J:$J,"1-30")</f>
        <v/>
      </c>
      <c r="D7" s="14">
        <f>SUMIFS(Ledger!$E:$E,Ledger!$C:$C,$A7,Ledger!$B:$B,"Invoice",Ledger!$I:$I,"Open",Ledger!$J:$J,"31-60")</f>
        <v/>
      </c>
      <c r="E7" s="14">
        <f>SUMIFS(Ledger!$E:$E,Ledger!$C:$C,$A7,Ledger!$B:$B,"Invoice",Ledger!$I:$I,"Open",Ledger!$J:$J,"61-90")</f>
        <v/>
      </c>
      <c r="F7" s="14">
        <f>SUMIFS(Ledger!$E:$E,Ledger!$C:$C,$A7,Ledger!$B:$B,"Invoice",Ledger!$I:$I,"Open",Ledger!$J:$J,"90+")</f>
        <v/>
      </c>
      <c r="G7" s="15">
        <f>SUM(B7:F7)</f>
        <v/>
      </c>
    </row>
    <row r="8">
      <c r="A8" s="9" t="inlineStr">
        <is>
          <t>Dockside Marine</t>
        </is>
      </c>
      <c r="B8" s="14">
        <f>SUMIFS(Ledger!$E:$E,Ledger!$C:$C,$A8,Ledger!$B:$B,"Invoice",Ledger!$I:$I,"Open",Ledger!$J:$J,"Current")</f>
        <v/>
      </c>
      <c r="C8" s="14">
        <f>SUMIFS(Ledger!$E:$E,Ledger!$C:$C,$A8,Ledger!$B:$B,"Invoice",Ledger!$I:$I,"Open",Ledger!$J:$J,"1-30")</f>
        <v/>
      </c>
      <c r="D8" s="14">
        <f>SUMIFS(Ledger!$E:$E,Ledger!$C:$C,$A8,Ledger!$B:$B,"Invoice",Ledger!$I:$I,"Open",Ledger!$J:$J,"31-60")</f>
        <v/>
      </c>
      <c r="E8" s="14">
        <f>SUMIFS(Ledger!$E:$E,Ledger!$C:$C,$A8,Ledger!$B:$B,"Invoice",Ledger!$I:$I,"Open",Ledger!$J:$J,"61-90")</f>
        <v/>
      </c>
      <c r="F8" s="14">
        <f>SUMIFS(Ledger!$E:$E,Ledger!$C:$C,$A8,Ledger!$B:$B,"Invoice",Ledger!$I:$I,"Open",Ledger!$J:$J,"90+")</f>
        <v/>
      </c>
      <c r="G8" s="15">
        <f>SUM(B8:F8)</f>
        <v/>
      </c>
    </row>
    <row r="9">
      <c r="A9" s="9" t="inlineStr">
        <is>
          <t>Vale &amp; Sons Painting</t>
        </is>
      </c>
      <c r="B9" s="14">
        <f>SUMIFS(Ledger!$E:$E,Ledger!$C:$C,$A9,Ledger!$B:$B,"Invoice",Ledger!$I:$I,"Open",Ledger!$J:$J,"Current")</f>
        <v/>
      </c>
      <c r="C9" s="14">
        <f>SUMIFS(Ledger!$E:$E,Ledger!$C:$C,$A9,Ledger!$B:$B,"Invoice",Ledger!$I:$I,"Open",Ledger!$J:$J,"1-30")</f>
        <v/>
      </c>
      <c r="D9" s="14">
        <f>SUMIFS(Ledger!$E:$E,Ledger!$C:$C,$A9,Ledger!$B:$B,"Invoice",Ledger!$I:$I,"Open",Ledger!$J:$J,"31-60")</f>
        <v/>
      </c>
      <c r="E9" s="14">
        <f>SUMIFS(Ledger!$E:$E,Ledger!$C:$C,$A9,Ledger!$B:$B,"Invoice",Ledger!$I:$I,"Open",Ledger!$J:$J,"61-90")</f>
        <v/>
      </c>
      <c r="F9" s="14">
        <f>SUMIFS(Ledger!$E:$E,Ledger!$C:$C,$A9,Ledger!$B:$B,"Invoice",Ledger!$I:$I,"Open",Ledger!$J:$J,"90+")</f>
        <v/>
      </c>
      <c r="G9" s="15">
        <f>SUM(B9:F9)</f>
        <v/>
      </c>
    </row>
    <row r="10">
      <c r="A10" s="9" t="inlineStr">
        <is>
          <t>Northgate Property Co</t>
        </is>
      </c>
      <c r="B10" s="14">
        <f>SUMIFS(Ledger!$E:$E,Ledger!$C:$C,$A10,Ledger!$B:$B,"Invoice",Ledger!$I:$I,"Open",Ledger!$J:$J,"Current")</f>
        <v/>
      </c>
      <c r="C10" s="14">
        <f>SUMIFS(Ledger!$E:$E,Ledger!$C:$C,$A10,Ledger!$B:$B,"Invoice",Ledger!$I:$I,"Open",Ledger!$J:$J,"1-30")</f>
        <v/>
      </c>
      <c r="D10" s="14">
        <f>SUMIFS(Ledger!$E:$E,Ledger!$C:$C,$A10,Ledger!$B:$B,"Invoice",Ledger!$I:$I,"Open",Ledger!$J:$J,"31-60")</f>
        <v/>
      </c>
      <c r="E10" s="14">
        <f>SUMIFS(Ledger!$E:$E,Ledger!$C:$C,$A10,Ledger!$B:$B,"Invoice",Ledger!$I:$I,"Open",Ledger!$J:$J,"61-90")</f>
        <v/>
      </c>
      <c r="F10" s="14">
        <f>SUMIFS(Ledger!$E:$E,Ledger!$C:$C,$A10,Ledger!$B:$B,"Invoice",Ledger!$I:$I,"Open",Ledger!$J:$J,"90+")</f>
        <v/>
      </c>
      <c r="G10" s="15">
        <f>SUM(B10:F10)</f>
        <v/>
      </c>
    </row>
    <row r="11">
      <c r="A11" s="9" t="inlineStr">
        <is>
          <t>Ellerslie Fitout</t>
        </is>
      </c>
      <c r="B11" s="14">
        <f>SUMIFS(Ledger!$E:$E,Ledger!$C:$C,$A11,Ledger!$B:$B,"Invoice",Ledger!$I:$I,"Open",Ledger!$J:$J,"Current")</f>
        <v/>
      </c>
      <c r="C11" s="14">
        <f>SUMIFS(Ledger!$E:$E,Ledger!$C:$C,$A11,Ledger!$B:$B,"Invoice",Ledger!$I:$I,"Open",Ledger!$J:$J,"1-30")</f>
        <v/>
      </c>
      <c r="D11" s="14">
        <f>SUMIFS(Ledger!$E:$E,Ledger!$C:$C,$A11,Ledger!$B:$B,"Invoice",Ledger!$I:$I,"Open",Ledger!$J:$J,"31-60")</f>
        <v/>
      </c>
      <c r="E11" s="14">
        <f>SUMIFS(Ledger!$E:$E,Ledger!$C:$C,$A11,Ledger!$B:$B,"Invoice",Ledger!$I:$I,"Open",Ledger!$J:$J,"61-90")</f>
        <v/>
      </c>
      <c r="F11" s="14">
        <f>SUMIFS(Ledger!$E:$E,Ledger!$C:$C,$A11,Ledger!$B:$B,"Invoice",Ledger!$I:$I,"Open",Ledger!$J:$J,"90+")</f>
        <v/>
      </c>
      <c r="G11" s="15">
        <f>SUM(B11:F11)</f>
        <v/>
      </c>
    </row>
    <row r="12">
      <c r="A12" s="9" t="inlineStr">
        <is>
          <t>Quay Street Developments</t>
        </is>
      </c>
      <c r="B12" s="14">
        <f>SUMIFS(Ledger!$E:$E,Ledger!$C:$C,$A12,Ledger!$B:$B,"Invoice",Ledger!$I:$I,"Open",Ledger!$J:$J,"Current")</f>
        <v/>
      </c>
      <c r="C12" s="14">
        <f>SUMIFS(Ledger!$E:$E,Ledger!$C:$C,$A12,Ledger!$B:$B,"Invoice",Ledger!$I:$I,"Open",Ledger!$J:$J,"1-30")</f>
        <v/>
      </c>
      <c r="D12" s="14">
        <f>SUMIFS(Ledger!$E:$E,Ledger!$C:$C,$A12,Ledger!$B:$B,"Invoice",Ledger!$I:$I,"Open",Ledger!$J:$J,"31-60")</f>
        <v/>
      </c>
      <c r="E12" s="14">
        <f>SUMIFS(Ledger!$E:$E,Ledger!$C:$C,$A12,Ledger!$B:$B,"Invoice",Ledger!$I:$I,"Open",Ledger!$J:$J,"61-90")</f>
        <v/>
      </c>
      <c r="F12" s="14">
        <f>SUMIFS(Ledger!$E:$E,Ledger!$C:$C,$A12,Ledger!$B:$B,"Invoice",Ledger!$I:$I,"Open",Ledger!$J:$J,"90+")</f>
        <v/>
      </c>
      <c r="G12" s="15">
        <f>SUM(B12:F12)</f>
        <v/>
      </c>
    </row>
    <row r="13">
      <c r="A13" s="11" t="inlineStr">
        <is>
          <t>Total</t>
        </is>
      </c>
      <c r="B13" s="15">
        <f>SUM(B5:B12)</f>
        <v/>
      </c>
      <c r="C13" s="15">
        <f>SUM(C5:C12)</f>
        <v/>
      </c>
      <c r="D13" s="15">
        <f>SUM(D5:D12)</f>
        <v/>
      </c>
      <c r="E13" s="15">
        <f>SUM(E5:E12)</f>
        <v/>
      </c>
      <c r="F13" s="15">
        <f>SUM(F5:F12)</f>
        <v/>
      </c>
      <c r="G13" s="15">
        <f>SUM(G5:G12)</f>
        <v/>
      </c>
    </row>
  </sheetData>
  <conditionalFormatting sqref="E5:F13">
    <cfRule type="cellIs" priority="1" operator="greaterThan" dxfId="0">
      <formula>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6"/>
  <sheetViews>
    <sheetView showGridLines="0" workbookViewId="0">
      <pane ySplit="4" topLeftCell="A5" activePane="bottomLeft" state="frozen"/>
      <selection pane="bottomLeft" activeCell="A1" sqref="A1"/>
    </sheetView>
  </sheetViews>
  <sheetFormatPr baseColWidth="8" defaultRowHeight="15"/>
  <cols>
    <col width="14" customWidth="1" min="1" max="1"/>
    <col width="28" customWidth="1" min="2" max="2"/>
    <col width="14" customWidth="1" min="3" max="3"/>
    <col width="14" customWidth="1" min="4" max="4"/>
    <col width="13" customWidth="1" min="5" max="5"/>
    <col width="14" customWidth="1" min="6" max="6"/>
  </cols>
  <sheetData>
    <row r="1">
      <c r="A1" s="1" t="inlineStr">
        <is>
          <t>Supplier payment run - what is due in the next 7 days</t>
        </is>
      </c>
    </row>
    <row r="2">
      <c r="A2" s="2" t="inlineStr">
        <is>
          <t>Filter column A for Yes. Sorted by the ledger, so a bill cannot appear here without existing in the books.</t>
        </is>
      </c>
    </row>
    <row r="4" ht="26" customHeight="1">
      <c r="A4" s="7" t="inlineStr">
        <is>
          <t>Pay this run?</t>
        </is>
      </c>
      <c r="B4" s="7" t="inlineStr">
        <is>
          <t>Supplier</t>
        </is>
      </c>
      <c r="C4" s="7" t="inlineStr">
        <is>
          <t>Reference</t>
        </is>
      </c>
      <c r="D4" s="7" t="inlineStr">
        <is>
          <t>Amount</t>
        </is>
      </c>
      <c r="E4" s="7" t="inlineStr">
        <is>
          <t>Due date</t>
        </is>
      </c>
      <c r="F4" s="7" t="inlineStr">
        <is>
          <t>Days overdue</t>
        </is>
      </c>
    </row>
    <row r="5">
      <c r="A5" s="9">
        <f>IF(Ledger!I5&lt;&gt;"Open","",IF(Ledger!F5&lt;=TODAY()+7,"Yes","-"))</f>
        <v/>
      </c>
      <c r="B5" s="9">
        <f>Ledger!C5</f>
        <v/>
      </c>
      <c r="C5" s="9">
        <f>Ledger!D5</f>
        <v/>
      </c>
      <c r="D5" s="10">
        <f>Ledger!E5</f>
        <v/>
      </c>
      <c r="E5" s="8">
        <f>Ledger!F5</f>
        <v/>
      </c>
      <c r="F5" s="9">
        <f>Ledger!G5</f>
        <v/>
      </c>
    </row>
    <row r="6">
      <c r="A6" s="9">
        <f>IF(Ledger!I7&lt;&gt;"Open","",IF(Ledger!F7&lt;=TODAY()+7,"Yes","-"))</f>
        <v/>
      </c>
      <c r="B6" s="9">
        <f>Ledger!C7</f>
        <v/>
      </c>
      <c r="C6" s="9">
        <f>Ledger!D7</f>
        <v/>
      </c>
      <c r="D6" s="10">
        <f>Ledger!E7</f>
        <v/>
      </c>
      <c r="E6" s="8">
        <f>Ledger!F7</f>
        <v/>
      </c>
      <c r="F6" s="9">
        <f>Ledger!G7</f>
        <v/>
      </c>
    </row>
    <row r="7">
      <c r="A7" s="9">
        <f>IF(Ledger!I10&lt;&gt;"Open","",IF(Ledger!F10&lt;=TODAY()+7,"Yes","-"))</f>
        <v/>
      </c>
      <c r="B7" s="9">
        <f>Ledger!C10</f>
        <v/>
      </c>
      <c r="C7" s="9">
        <f>Ledger!D10</f>
        <v/>
      </c>
      <c r="D7" s="10">
        <f>Ledger!E10</f>
        <v/>
      </c>
      <c r="E7" s="8">
        <f>Ledger!F10</f>
        <v/>
      </c>
      <c r="F7" s="9">
        <f>Ledger!G10</f>
        <v/>
      </c>
    </row>
    <row r="8">
      <c r="A8" s="9">
        <f>IF(Ledger!I12&lt;&gt;"Open","",IF(Ledger!F12&lt;=TODAY()+7,"Yes","-"))</f>
        <v/>
      </c>
      <c r="B8" s="9">
        <f>Ledger!C12</f>
        <v/>
      </c>
      <c r="C8" s="9">
        <f>Ledger!D12</f>
        <v/>
      </c>
      <c r="D8" s="10">
        <f>Ledger!E12</f>
        <v/>
      </c>
      <c r="E8" s="8">
        <f>Ledger!F12</f>
        <v/>
      </c>
      <c r="F8" s="9">
        <f>Ledger!G12</f>
        <v/>
      </c>
    </row>
    <row r="9">
      <c r="A9" s="9">
        <f>IF(Ledger!I15&lt;&gt;"Open","",IF(Ledger!F15&lt;=TODAY()+7,"Yes","-"))</f>
        <v/>
      </c>
      <c r="B9" s="9">
        <f>Ledger!C15</f>
        <v/>
      </c>
      <c r="C9" s="9">
        <f>Ledger!D15</f>
        <v/>
      </c>
      <c r="D9" s="10">
        <f>Ledger!E15</f>
        <v/>
      </c>
      <c r="E9" s="8">
        <f>Ledger!F15</f>
        <v/>
      </c>
      <c r="F9" s="9">
        <f>Ledger!G15</f>
        <v/>
      </c>
    </row>
    <row r="10">
      <c r="A10" s="9">
        <f>IF(Ledger!I19&lt;&gt;"Open","",IF(Ledger!F19&lt;=TODAY()+7,"Yes","-"))</f>
        <v/>
      </c>
      <c r="B10" s="9">
        <f>Ledger!C19</f>
        <v/>
      </c>
      <c r="C10" s="9">
        <f>Ledger!D19</f>
        <v/>
      </c>
      <c r="D10" s="10">
        <f>Ledger!E19</f>
        <v/>
      </c>
      <c r="E10" s="8">
        <f>Ledger!F19</f>
        <v/>
      </c>
      <c r="F10" s="9">
        <f>Ledger!G19</f>
        <v/>
      </c>
    </row>
    <row r="11">
      <c r="A11" s="9">
        <f>IF(Ledger!I20&lt;&gt;"Open","",IF(Ledger!F20&lt;=TODAY()+7,"Yes","-"))</f>
        <v/>
      </c>
      <c r="B11" s="9">
        <f>Ledger!C20</f>
        <v/>
      </c>
      <c r="C11" s="9">
        <f>Ledger!D20</f>
        <v/>
      </c>
      <c r="D11" s="10">
        <f>Ledger!E20</f>
        <v/>
      </c>
      <c r="E11" s="8">
        <f>Ledger!F20</f>
        <v/>
      </c>
      <c r="F11" s="9">
        <f>Ledger!G20</f>
        <v/>
      </c>
    </row>
    <row r="12">
      <c r="A12" s="9">
        <f>IF(Ledger!I22&lt;&gt;"Open","",IF(Ledger!F22&lt;=TODAY()+7,"Yes","-"))</f>
        <v/>
      </c>
      <c r="B12" s="9">
        <f>Ledger!C22</f>
        <v/>
      </c>
      <c r="C12" s="9">
        <f>Ledger!D22</f>
        <v/>
      </c>
      <c r="D12" s="10">
        <f>Ledger!E22</f>
        <v/>
      </c>
      <c r="E12" s="8">
        <f>Ledger!F22</f>
        <v/>
      </c>
      <c r="F12" s="9">
        <f>Ledger!G22</f>
        <v/>
      </c>
    </row>
    <row r="13">
      <c r="A13" s="9">
        <f>IF(Ledger!I23&lt;&gt;"Open","",IF(Ledger!F23&lt;=TODAY()+7,"Yes","-"))</f>
        <v/>
      </c>
      <c r="B13" s="9">
        <f>Ledger!C23</f>
        <v/>
      </c>
      <c r="C13" s="9">
        <f>Ledger!D23</f>
        <v/>
      </c>
      <c r="D13" s="10">
        <f>Ledger!E23</f>
        <v/>
      </c>
      <c r="E13" s="8">
        <f>Ledger!F23</f>
        <v/>
      </c>
      <c r="F13" s="9">
        <f>Ledger!G23</f>
        <v/>
      </c>
    </row>
    <row r="14">
      <c r="A14" s="9">
        <f>IF(Ledger!I24&lt;&gt;"Open","",IF(Ledger!F24&lt;=TODAY()+7,"Yes","-"))</f>
        <v/>
      </c>
      <c r="B14" s="9">
        <f>Ledger!C24</f>
        <v/>
      </c>
      <c r="C14" s="9">
        <f>Ledger!D24</f>
        <v/>
      </c>
      <c r="D14" s="10">
        <f>Ledger!E24</f>
        <v/>
      </c>
      <c r="E14" s="8">
        <f>Ledger!F24</f>
        <v/>
      </c>
      <c r="F14" s="9">
        <f>Ledger!G24</f>
        <v/>
      </c>
    </row>
    <row r="15">
      <c r="A15" s="9">
        <f>IF(Ledger!I27&lt;&gt;"Open","",IF(Ledger!F27&lt;=TODAY()+7,"Yes","-"))</f>
        <v/>
      </c>
      <c r="B15" s="9">
        <f>Ledger!C27</f>
        <v/>
      </c>
      <c r="C15" s="9">
        <f>Ledger!D27</f>
        <v/>
      </c>
      <c r="D15" s="10">
        <f>Ledger!E27</f>
        <v/>
      </c>
      <c r="E15" s="8">
        <f>Ledger!F27</f>
        <v/>
      </c>
      <c r="F15" s="9">
        <f>Ledger!G27</f>
        <v/>
      </c>
    </row>
    <row r="16">
      <c r="A16" s="9">
        <f>IF(Ledger!I29&lt;&gt;"Open","",IF(Ledger!F29&lt;=TODAY()+7,"Yes","-"))</f>
        <v/>
      </c>
      <c r="B16" s="9">
        <f>Ledger!C29</f>
        <v/>
      </c>
      <c r="C16" s="9">
        <f>Ledger!D29</f>
        <v/>
      </c>
      <c r="D16" s="10">
        <f>Ledger!E29</f>
        <v/>
      </c>
      <c r="E16" s="8">
        <f>Ledger!F29</f>
        <v/>
      </c>
      <c r="F16" s="9">
        <f>Ledger!G29</f>
        <v/>
      </c>
    </row>
    <row r="17">
      <c r="A17" s="9">
        <f>IF(Ledger!I30&lt;&gt;"Open","",IF(Ledger!F30&lt;=TODAY()+7,"Yes","-"))</f>
        <v/>
      </c>
      <c r="B17" s="9">
        <f>Ledger!C30</f>
        <v/>
      </c>
      <c r="C17" s="9">
        <f>Ledger!D30</f>
        <v/>
      </c>
      <c r="D17" s="10">
        <f>Ledger!E30</f>
        <v/>
      </c>
      <c r="E17" s="8">
        <f>Ledger!F30</f>
        <v/>
      </c>
      <c r="F17" s="9">
        <f>Ledger!G30</f>
        <v/>
      </c>
    </row>
    <row r="18">
      <c r="A18" s="9">
        <f>IF(Ledger!I36&lt;&gt;"Open","",IF(Ledger!F36&lt;=TODAY()+7,"Yes","-"))</f>
        <v/>
      </c>
      <c r="B18" s="9">
        <f>Ledger!C36</f>
        <v/>
      </c>
      <c r="C18" s="9">
        <f>Ledger!D36</f>
        <v/>
      </c>
      <c r="D18" s="10">
        <f>Ledger!E36</f>
        <v/>
      </c>
      <c r="E18" s="8">
        <f>Ledger!F36</f>
        <v/>
      </c>
      <c r="F18" s="9">
        <f>Ledger!G36</f>
        <v/>
      </c>
    </row>
    <row r="19">
      <c r="A19" s="9">
        <f>IF(Ledger!I38&lt;&gt;"Open","",IF(Ledger!F38&lt;=TODAY()+7,"Yes","-"))</f>
        <v/>
      </c>
      <c r="B19" s="9">
        <f>Ledger!C38</f>
        <v/>
      </c>
      <c r="C19" s="9">
        <f>Ledger!D38</f>
        <v/>
      </c>
      <c r="D19" s="10">
        <f>Ledger!E38</f>
        <v/>
      </c>
      <c r="E19" s="8">
        <f>Ledger!F38</f>
        <v/>
      </c>
      <c r="F19" s="9">
        <f>Ledger!G38</f>
        <v/>
      </c>
    </row>
    <row r="20">
      <c r="A20" s="9">
        <f>IF(Ledger!I39&lt;&gt;"Open","",IF(Ledger!F39&lt;=TODAY()+7,"Yes","-"))</f>
        <v/>
      </c>
      <c r="B20" s="9">
        <f>Ledger!C39</f>
        <v/>
      </c>
      <c r="C20" s="9">
        <f>Ledger!D39</f>
        <v/>
      </c>
      <c r="D20" s="10">
        <f>Ledger!E39</f>
        <v/>
      </c>
      <c r="E20" s="8">
        <f>Ledger!F39</f>
        <v/>
      </c>
      <c r="F20" s="9">
        <f>Ledger!G39</f>
        <v/>
      </c>
    </row>
    <row r="21">
      <c r="A21" s="9">
        <f>IF(Ledger!I42&lt;&gt;"Open","",IF(Ledger!F42&lt;=TODAY()+7,"Yes","-"))</f>
        <v/>
      </c>
      <c r="B21" s="9">
        <f>Ledger!C42</f>
        <v/>
      </c>
      <c r="C21" s="9">
        <f>Ledger!D42</f>
        <v/>
      </c>
      <c r="D21" s="10">
        <f>Ledger!E42</f>
        <v/>
      </c>
      <c r="E21" s="8">
        <f>Ledger!F42</f>
        <v/>
      </c>
      <c r="F21" s="9">
        <f>Ledger!G42</f>
        <v/>
      </c>
    </row>
    <row r="22">
      <c r="A22" s="9">
        <f>IF(Ledger!I45&lt;&gt;"Open","",IF(Ledger!F45&lt;=TODAY()+7,"Yes","-"))</f>
        <v/>
      </c>
      <c r="B22" s="9">
        <f>Ledger!C45</f>
        <v/>
      </c>
      <c r="C22" s="9">
        <f>Ledger!D45</f>
        <v/>
      </c>
      <c r="D22" s="10">
        <f>Ledger!E45</f>
        <v/>
      </c>
      <c r="E22" s="8">
        <f>Ledger!F45</f>
        <v/>
      </c>
      <c r="F22" s="9">
        <f>Ledger!G45</f>
        <v/>
      </c>
    </row>
    <row r="23">
      <c r="A23" s="9">
        <f>IF(Ledger!I47&lt;&gt;"Open","",IF(Ledger!F47&lt;=TODAY()+7,"Yes","-"))</f>
        <v/>
      </c>
      <c r="B23" s="9">
        <f>Ledger!C47</f>
        <v/>
      </c>
      <c r="C23" s="9">
        <f>Ledger!D47</f>
        <v/>
      </c>
      <c r="D23" s="10">
        <f>Ledger!E47</f>
        <v/>
      </c>
      <c r="E23" s="8">
        <f>Ledger!F47</f>
        <v/>
      </c>
      <c r="F23" s="9">
        <f>Ledger!G47</f>
        <v/>
      </c>
    </row>
    <row r="24">
      <c r="A24" s="9">
        <f>IF(Ledger!I48&lt;&gt;"Open","",IF(Ledger!F48&lt;=TODAY()+7,"Yes","-"))</f>
        <v/>
      </c>
      <c r="B24" s="9">
        <f>Ledger!C48</f>
        <v/>
      </c>
      <c r="C24" s="9">
        <f>Ledger!D48</f>
        <v/>
      </c>
      <c r="D24" s="10">
        <f>Ledger!E48</f>
        <v/>
      </c>
      <c r="E24" s="8">
        <f>Ledger!F48</f>
        <v/>
      </c>
      <c r="F24" s="9">
        <f>Ledger!G48</f>
        <v/>
      </c>
    </row>
    <row r="25">
      <c r="A25" s="9">
        <f>IF(Ledger!I51&lt;&gt;"Open","",IF(Ledger!F51&lt;=TODAY()+7,"Yes","-"))</f>
        <v/>
      </c>
      <c r="B25" s="9">
        <f>Ledger!C51</f>
        <v/>
      </c>
      <c r="C25" s="9">
        <f>Ledger!D51</f>
        <v/>
      </c>
      <c r="D25" s="10">
        <f>Ledger!E51</f>
        <v/>
      </c>
      <c r="E25" s="8">
        <f>Ledger!F51</f>
        <v/>
      </c>
      <c r="F25" s="9">
        <f>Ledger!G51</f>
        <v/>
      </c>
    </row>
    <row r="26">
      <c r="A26" s="9">
        <f>IF(Ledger!I56&lt;&gt;"Open","",IF(Ledger!F56&lt;=TODAY()+7,"Yes","-"))</f>
        <v/>
      </c>
      <c r="B26" s="9">
        <f>Ledger!C56</f>
        <v/>
      </c>
      <c r="C26" s="9">
        <f>Ledger!D56</f>
        <v/>
      </c>
      <c r="D26" s="10">
        <f>Ledger!E56</f>
        <v/>
      </c>
      <c r="E26" s="8">
        <f>Ledger!F56</f>
        <v/>
      </c>
      <c r="F26" s="9">
        <f>Ledger!G56</f>
        <v/>
      </c>
    </row>
    <row r="27">
      <c r="A27" s="9">
        <f>IF(Ledger!I57&lt;&gt;"Open","",IF(Ledger!F57&lt;=TODAY()+7,"Yes","-"))</f>
        <v/>
      </c>
      <c r="B27" s="9">
        <f>Ledger!C57</f>
        <v/>
      </c>
      <c r="C27" s="9">
        <f>Ledger!D57</f>
        <v/>
      </c>
      <c r="D27" s="10">
        <f>Ledger!E57</f>
        <v/>
      </c>
      <c r="E27" s="8">
        <f>Ledger!F57</f>
        <v/>
      </c>
      <c r="F27" s="9">
        <f>Ledger!G57</f>
        <v/>
      </c>
    </row>
    <row r="28">
      <c r="A28" s="9">
        <f>IF(Ledger!I58&lt;&gt;"Open","",IF(Ledger!F58&lt;=TODAY()+7,"Yes","-"))</f>
        <v/>
      </c>
      <c r="B28" s="9">
        <f>Ledger!C58</f>
        <v/>
      </c>
      <c r="C28" s="9">
        <f>Ledger!D58</f>
        <v/>
      </c>
      <c r="D28" s="10">
        <f>Ledger!E58</f>
        <v/>
      </c>
      <c r="E28" s="8">
        <f>Ledger!F58</f>
        <v/>
      </c>
      <c r="F28" s="9">
        <f>Ledger!G58</f>
        <v/>
      </c>
    </row>
    <row r="29">
      <c r="A29" s="9">
        <f>IF(Ledger!I61&lt;&gt;"Open","",IF(Ledger!F61&lt;=TODAY()+7,"Yes","-"))</f>
        <v/>
      </c>
      <c r="B29" s="9">
        <f>Ledger!C61</f>
        <v/>
      </c>
      <c r="C29" s="9">
        <f>Ledger!D61</f>
        <v/>
      </c>
      <c r="D29" s="10">
        <f>Ledger!E61</f>
        <v/>
      </c>
      <c r="E29" s="8">
        <f>Ledger!F61</f>
        <v/>
      </c>
      <c r="F29" s="9">
        <f>Ledger!G61</f>
        <v/>
      </c>
    </row>
    <row r="30">
      <c r="A30" s="9">
        <f>IF(Ledger!I62&lt;&gt;"Open","",IF(Ledger!F62&lt;=TODAY()+7,"Yes","-"))</f>
        <v/>
      </c>
      <c r="B30" s="9">
        <f>Ledger!C62</f>
        <v/>
      </c>
      <c r="C30" s="9">
        <f>Ledger!D62</f>
        <v/>
      </c>
      <c r="D30" s="10">
        <f>Ledger!E62</f>
        <v/>
      </c>
      <c r="E30" s="8">
        <f>Ledger!F62</f>
        <v/>
      </c>
      <c r="F30" s="9">
        <f>Ledger!G62</f>
        <v/>
      </c>
    </row>
    <row r="31">
      <c r="A31" s="9">
        <f>IF(Ledger!I65&lt;&gt;"Open","",IF(Ledger!F65&lt;=TODAY()+7,"Yes","-"))</f>
        <v/>
      </c>
      <c r="B31" s="9">
        <f>Ledger!C65</f>
        <v/>
      </c>
      <c r="C31" s="9">
        <f>Ledger!D65</f>
        <v/>
      </c>
      <c r="D31" s="10">
        <f>Ledger!E65</f>
        <v/>
      </c>
      <c r="E31" s="8">
        <f>Ledger!F65</f>
        <v/>
      </c>
      <c r="F31" s="9">
        <f>Ledger!G65</f>
        <v/>
      </c>
    </row>
    <row r="32">
      <c r="A32" s="9">
        <f>IF(Ledger!I68&lt;&gt;"Open","",IF(Ledger!F68&lt;=TODAY()+7,"Yes","-"))</f>
        <v/>
      </c>
      <c r="B32" s="9">
        <f>Ledger!C68</f>
        <v/>
      </c>
      <c r="C32" s="9">
        <f>Ledger!D68</f>
        <v/>
      </c>
      <c r="D32" s="10">
        <f>Ledger!E68</f>
        <v/>
      </c>
      <c r="E32" s="8">
        <f>Ledger!F68</f>
        <v/>
      </c>
      <c r="F32" s="9">
        <f>Ledger!G68</f>
        <v/>
      </c>
    </row>
    <row r="33">
      <c r="A33" s="9">
        <f>IF(Ledger!I69&lt;&gt;"Open","",IF(Ledger!F69&lt;=TODAY()+7,"Yes","-"))</f>
        <v/>
      </c>
      <c r="B33" s="9">
        <f>Ledger!C69</f>
        <v/>
      </c>
      <c r="C33" s="9">
        <f>Ledger!D69</f>
        <v/>
      </c>
      <c r="D33" s="10">
        <f>Ledger!E69</f>
        <v/>
      </c>
      <c r="E33" s="8">
        <f>Ledger!F69</f>
        <v/>
      </c>
      <c r="F33" s="9">
        <f>Ledger!G69</f>
        <v/>
      </c>
    </row>
    <row r="34">
      <c r="A34" s="9">
        <f>IF(Ledger!I70&lt;&gt;"Open","",IF(Ledger!F70&lt;=TODAY()+7,"Yes","-"))</f>
        <v/>
      </c>
      <c r="B34" s="9">
        <f>Ledger!C70</f>
        <v/>
      </c>
      <c r="C34" s="9">
        <f>Ledger!D70</f>
        <v/>
      </c>
      <c r="D34" s="10">
        <f>Ledger!E70</f>
        <v/>
      </c>
      <c r="E34" s="8">
        <f>Ledger!F70</f>
        <v/>
      </c>
      <c r="F34" s="9">
        <f>Ledger!G70</f>
        <v/>
      </c>
    </row>
    <row r="35">
      <c r="A35" s="9">
        <f>IF(Ledger!I73&lt;&gt;"Open","",IF(Ledger!F73&lt;=TODAY()+7,"Yes","-"))</f>
        <v/>
      </c>
      <c r="B35" s="9">
        <f>Ledger!C73</f>
        <v/>
      </c>
      <c r="C35" s="9">
        <f>Ledger!D73</f>
        <v/>
      </c>
      <c r="D35" s="10">
        <f>Ledger!E73</f>
        <v/>
      </c>
      <c r="E35" s="8">
        <f>Ledger!F73</f>
        <v/>
      </c>
      <c r="F35" s="9">
        <f>Ledger!G73</f>
        <v/>
      </c>
    </row>
    <row r="36">
      <c r="A36" s="9">
        <f>IF(Ledger!I75&lt;&gt;"Open","",IF(Ledger!F75&lt;=TODAY()+7,"Yes","-"))</f>
        <v/>
      </c>
      <c r="B36" s="9">
        <f>Ledger!C75</f>
        <v/>
      </c>
      <c r="C36" s="9">
        <f>Ledger!D75</f>
        <v/>
      </c>
      <c r="D36" s="10">
        <f>Ledger!E75</f>
        <v/>
      </c>
      <c r="E36" s="8">
        <f>Ledger!F75</f>
        <v/>
      </c>
      <c r="F36" s="9">
        <f>Ledger!G75</f>
        <v/>
      </c>
    </row>
  </sheetData>
  <autoFilter ref="A4:F36"/>
  <conditionalFormatting sqref="A5:F36">
    <cfRule type="expression" priority="1" dxfId="1">
      <formula>$A5="Yes"</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B1:F31"/>
  <sheetViews>
    <sheetView showGridLines="0" workbookViewId="0">
      <selection activeCell="A1" sqref="A1"/>
    </sheetView>
  </sheetViews>
  <sheetFormatPr baseColWidth="8" defaultRowHeight="15"/>
  <cols>
    <col width="3" customWidth="1" min="1" max="1"/>
    <col width="30" customWidth="1" min="2" max="2"/>
    <col width="18" customWidth="1" min="3" max="3"/>
    <col width="6" customWidth="1" min="4" max="4"/>
    <col width="30" customWidth="1" min="5" max="5"/>
    <col width="18" customWidth="1" min="6" max="6"/>
    <col width="4" customWidth="1" min="7" max="7"/>
  </cols>
  <sheetData>
    <row r="1"/>
    <row r="2">
      <c r="B2" s="1" t="inlineStr">
        <is>
          <t>Bank Reconciliation and AP/AR</t>
        </is>
      </c>
    </row>
    <row r="3">
      <c r="B3" s="2" t="inlineStr">
        <is>
          <t>Northbridge Trade Supplies - sample data, not a real business. Every figure below is a formula; nothing is typed.</t>
        </is>
      </c>
    </row>
    <row r="5">
      <c r="B5" s="5" t="inlineStr">
        <is>
          <t>Unreconciled bank lines</t>
        </is>
      </c>
      <c r="E5" s="5" t="inlineStr">
        <is>
          <t>Lines needing review</t>
        </is>
      </c>
    </row>
    <row r="6">
      <c r="B6" s="16">
        <f>COUNTIF(Bank!$H:$H,"UNMATCHED*")</f>
        <v/>
      </c>
      <c r="E6" s="16">
        <f>COUNTIF(Bank!$H:$H,"REVIEW*")</f>
        <v/>
      </c>
    </row>
    <row r="9">
      <c r="B9" s="5" t="inlineStr">
        <is>
          <t>Receivables outstanding</t>
        </is>
      </c>
      <c r="E9" s="5" t="inlineStr">
        <is>
          <t>Payables outstanding</t>
        </is>
      </c>
    </row>
    <row r="10">
      <c r="B10" s="17">
        <f>SUMIFS(Ledger!$E:$E,Ledger!$B:$B,"Invoice",Ledger!$I:$I,"Open")</f>
        <v/>
      </c>
      <c r="E10" s="17">
        <f>SUMIFS(Ledger!$E:$E,Ledger!$B:$B,"Bill",Ledger!$I:$I,"Open")</f>
        <v/>
      </c>
    </row>
    <row r="13">
      <c r="B13" s="5" t="inlineStr">
        <is>
          <t>Overdue receivables</t>
        </is>
      </c>
      <c r="E13" s="5" t="inlineStr">
        <is>
          <t>Due to suppliers within 7 days</t>
        </is>
      </c>
    </row>
    <row r="14">
      <c r="B14" s="17">
        <f>SUMIFS(Ledger!$E:$E,Ledger!$B:$B,"Invoice",Ledger!$I:$I,"Open",Ledger!$G:$G,"&gt;0")</f>
        <v/>
      </c>
      <c r="E14" s="17">
        <f>SUMPRODUCT((Ledger!$B$5:$B$500="Bill")*(Ledger!$I$5:$I$500="Open")*(Ledger!$F$5:$F$500&lt;=TODAY()+7)*(Ledger!$F$5:$F$500&lt;&gt;"")*Ledger!$E$5:$E$500)</f>
        <v/>
      </c>
    </row>
    <row r="17">
      <c r="B17" s="5" t="inlineStr">
        <is>
          <t>Reconciled this period</t>
        </is>
      </c>
    </row>
    <row r="18">
      <c r="B18" s="3">
        <f>TEXT(COUNTIF(Bank!$H:$H,"Matched")/MAX(1,COUNTIF(Bank!$H:$H,"Matched")+COUNTIF(Bank!$H:$H,"UNMATCHED*")+COUNTIF(Bank!$H:$H,"REVIEW*")),"0%")&amp;" of bank lines matched to a ledger entry"</f>
        <v/>
      </c>
    </row>
    <row r="20">
      <c r="B20" s="3" t="inlineStr">
        <is>
          <t>Does the cash agree?</t>
        </is>
      </c>
    </row>
    <row r="21">
      <c r="B21" s="5" t="inlineStr">
        <is>
          <t>Closing balance per the books</t>
        </is>
      </c>
      <c r="C21" s="18">
        <f>Bank!$G$2+SUM(Bank!$E:$E)</f>
        <v/>
      </c>
    </row>
    <row r="22">
      <c r="B22" s="5" t="inlineStr">
        <is>
          <t>Closing balance per the statement</t>
        </is>
      </c>
      <c r="C22" s="18">
        <f>Bank!$G$3</f>
        <v/>
      </c>
    </row>
    <row r="23">
      <c r="B23" s="5" t="inlineStr">
        <is>
          <t>Variance</t>
        </is>
      </c>
      <c r="C23" s="18">
        <f>ROUND(C21-C22,2)</f>
        <v/>
      </c>
      <c r="E23" s="3">
        <f>IF(ROUND(C23,2)=0,"Reconciled - the cash agrees to the penny","NOT RECONCILED - find the difference before doing anything else")</f>
        <v/>
      </c>
    </row>
    <row r="26">
      <c r="B26" t="inlineStr">
        <is>
          <t>How to read this</t>
        </is>
      </c>
    </row>
    <row r="27" ht="28" customHeight="1">
      <c r="B27" s="4" t="inlineStr">
        <is>
          <t>- Unreconciled bank lines - money moved that the books do not explain. Work these first; everything else is arithmetic.</t>
        </is>
      </c>
    </row>
    <row r="28" ht="28" customHeight="1">
      <c r="B28" s="4" t="inlineStr">
        <is>
          <t>- Lines needing review - the same amount twice on the statement, or one that matches several ledger entries. The sheet will not guess which is which, and neither should you.</t>
        </is>
      </c>
    </row>
    <row r="29" ht="28" customHeight="1">
      <c r="B29" s="4" t="inlineStr">
        <is>
          <t>- Overdue receivables is the number a business owner actually wants. Receivables outstanding includes invoices that are not late yet.</t>
        </is>
      </c>
    </row>
    <row r="30" ht="28" customHeight="1">
      <c r="B30" s="4" t="inlineStr">
        <is>
          <t>- Aging buckets and the payment run both recalculate from TODAY(), so this workbook is still correct next month without being edited.</t>
        </is>
      </c>
    </row>
    <row r="31" ht="28" customHeight="1">
      <c r="B31" s="4" t="inlineStr">
        <is>
          <t>- A zero variance does NOT mean the books are right. The cash can agree to the penny while transactions above still have no explanation - agreeing and being correct are different questions, and this sheet asks both.</t>
        </is>
      </c>
    </row>
  </sheetData>
  <mergeCells count="5">
    <mergeCell ref="B30:F30"/>
    <mergeCell ref="B29:F29"/>
    <mergeCell ref="B28:F28"/>
    <mergeCell ref="B31:F31"/>
    <mergeCell ref="B27:F27"/>
  </mergeCells>
  <conditionalFormatting sqref="E23">
    <cfRule type="expression" priority="1" dxfId="0">
      <formula>ROUND($C$23,2)&lt;&gt;0</formula>
    </cfRule>
    <cfRule type="expression" priority="2" dxfId="2">
      <formula>ROUND($C$23,2)=0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2026-09-13T17:23:44Z</dcterms:created>
  <dcterms:modified xsi:type="dcterms:W3CDTF">2026-09-13T17:23:44Z</dcterms:modified>
</cp:coreProperties>
</file>